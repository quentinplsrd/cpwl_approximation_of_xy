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susis/Documents/ANL/cpwl/data/"/>
    </mc:Choice>
  </mc:AlternateContent>
  <xr:revisionPtr revIDLastSave="0" documentId="13_ncr:1_{FDFA8924-E50C-2F4B-9E2B-A10A8F5EB2CA}" xr6:coauthVersionLast="47" xr6:coauthVersionMax="47" xr10:uidLastSave="{00000000-0000-0000-0000-000000000000}"/>
  <bookViews>
    <workbookView xWindow="0" yWindow="660" windowWidth="34560" windowHeight="21680" xr2:uid="{A1C21962-8E3D-C741-BDF6-1291C0B9075E}"/>
  </bookViews>
  <sheets>
    <sheet name="Inpu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F18" i="1" s="1"/>
  <c r="E19" i="1"/>
  <c r="E20" i="1"/>
  <c r="E21" i="1" s="1"/>
  <c r="F20" i="1"/>
  <c r="F21" i="1" s="1"/>
  <c r="G20" i="1"/>
  <c r="G21" i="1" s="1"/>
  <c r="H20" i="1"/>
  <c r="I20" i="1" s="1"/>
  <c r="J20" i="1" l="1"/>
  <c r="I21" i="1"/>
  <c r="G18" i="1"/>
  <c r="F19" i="1"/>
  <c r="H21" i="1"/>
  <c r="G19" i="1" l="1"/>
  <c r="H18" i="1"/>
  <c r="K20" i="1"/>
  <c r="J21" i="1"/>
  <c r="H19" i="1" l="1"/>
  <c r="I18" i="1"/>
  <c r="K21" i="1"/>
  <c r="L20" i="1"/>
  <c r="I19" i="1" l="1"/>
  <c r="J18" i="1"/>
  <c r="J19" i="1" l="1"/>
  <c r="K18" i="1"/>
  <c r="K19" i="1" l="1"/>
  <c r="L18" i="1"/>
  <c r="L19" i="1" l="1"/>
  <c r="M18" i="1"/>
  <c r="M19" i="1" l="1"/>
  <c r="N18" i="1"/>
  <c r="O18" i="1" l="1"/>
  <c r="N19" i="1"/>
  <c r="P18" i="1" l="1"/>
  <c r="O19" i="1"/>
  <c r="Q18" i="1" l="1"/>
  <c r="P19" i="1"/>
  <c r="Q19" i="1" l="1"/>
  <c r="R18" i="1"/>
  <c r="R19" i="1" l="1"/>
  <c r="S18" i="1"/>
  <c r="S19" i="1" l="1"/>
  <c r="T18" i="1"/>
  <c r="T19" i="1" l="1"/>
  <c r="U18" i="1"/>
  <c r="U19" i="1" l="1"/>
  <c r="V18" i="1"/>
  <c r="V19" i="1" l="1"/>
  <c r="W18" i="1"/>
  <c r="W19" i="1" l="1"/>
  <c r="X18" i="1"/>
  <c r="Y18" i="1" l="1"/>
  <c r="X19" i="1"/>
  <c r="Z18" i="1" l="1"/>
  <c r="Y19" i="1"/>
  <c r="AA18" i="1" l="1"/>
  <c r="Z19" i="1"/>
  <c r="AA19" i="1" l="1"/>
  <c r="AB18" i="1"/>
  <c r="AB19" i="1" l="1"/>
  <c r="AC18" i="1"/>
  <c r="AC19" i="1" l="1"/>
  <c r="AD18" i="1"/>
  <c r="AD19" i="1" l="1"/>
  <c r="AE18" i="1"/>
  <c r="AE19" i="1" l="1"/>
  <c r="AF18" i="1"/>
  <c r="AF19" i="1" l="1"/>
  <c r="AG18" i="1"/>
  <c r="AG19" i="1" l="1"/>
  <c r="AH18" i="1"/>
  <c r="AI18" i="1" l="1"/>
  <c r="AH19" i="1"/>
  <c r="AJ18" i="1" l="1"/>
  <c r="AI19" i="1"/>
  <c r="AK18" i="1" l="1"/>
  <c r="AJ19" i="1"/>
  <c r="AK19" i="1" l="1"/>
  <c r="AL18" i="1"/>
  <c r="AL19" i="1" l="1"/>
  <c r="AM18" i="1"/>
  <c r="AM19" i="1" l="1"/>
  <c r="AN18" i="1"/>
  <c r="AN19" i="1" l="1"/>
  <c r="AO18" i="1"/>
  <c r="AO19" i="1" l="1"/>
  <c r="AP18" i="1"/>
  <c r="AP19" i="1" l="1"/>
  <c r="AQ18" i="1"/>
  <c r="AQ19" i="1" l="1"/>
  <c r="AR18" i="1"/>
  <c r="AS18" i="1" l="1"/>
  <c r="AR19" i="1"/>
  <c r="AT18" i="1" l="1"/>
  <c r="AS19" i="1"/>
  <c r="AU18" i="1" l="1"/>
  <c r="AT19" i="1"/>
  <c r="AU19" i="1" l="1"/>
  <c r="AV18" i="1"/>
  <c r="AV19" i="1" l="1"/>
  <c r="AW18" i="1"/>
  <c r="AW19" i="1" l="1"/>
  <c r="AX18" i="1"/>
  <c r="AX19" i="1" l="1"/>
  <c r="AY18" i="1"/>
  <c r="AY19" i="1" l="1"/>
  <c r="AZ18" i="1"/>
  <c r="AZ19" i="1" l="1"/>
  <c r="BA18" i="1"/>
  <c r="BA19" i="1" l="1"/>
  <c r="BB18" i="1"/>
  <c r="BC18" i="1" l="1"/>
  <c r="BB19" i="1"/>
  <c r="BD18" i="1" l="1"/>
  <c r="BC19" i="1"/>
  <c r="BE18" i="1" l="1"/>
  <c r="BD19" i="1"/>
  <c r="BE19" i="1" l="1"/>
  <c r="BF18" i="1"/>
  <c r="BF19" i="1" l="1"/>
  <c r="BG18" i="1"/>
  <c r="BG19" i="1" l="1"/>
  <c r="BH18" i="1"/>
  <c r="BH19" i="1" l="1"/>
  <c r="BI18" i="1"/>
  <c r="BI19" i="1" l="1"/>
  <c r="BJ18" i="1"/>
  <c r="BJ19" i="1" l="1"/>
  <c r="BK18" i="1"/>
  <c r="BK19" i="1" l="1"/>
  <c r="BL18" i="1"/>
  <c r="BM18" i="1" l="1"/>
  <c r="BL19" i="1"/>
  <c r="BN18" i="1" l="1"/>
  <c r="BM19" i="1"/>
  <c r="BO18" i="1" l="1"/>
  <c r="BN19" i="1"/>
  <c r="BO19" i="1" l="1"/>
  <c r="BP18" i="1"/>
  <c r="BP19" i="1" l="1"/>
  <c r="BQ18" i="1"/>
  <c r="BQ19" i="1" l="1"/>
  <c r="BR18" i="1"/>
  <c r="BR19" i="1" l="1"/>
  <c r="BS18" i="1"/>
  <c r="BS19" i="1" l="1"/>
  <c r="BT18" i="1"/>
  <c r="BT19" i="1" l="1"/>
  <c r="BU18" i="1"/>
  <c r="BU19" i="1" l="1"/>
  <c r="BV18" i="1"/>
  <c r="BW18" i="1" l="1"/>
  <c r="BV19" i="1"/>
  <c r="BX18" i="1" l="1"/>
  <c r="BW19" i="1"/>
  <c r="BY18" i="1" l="1"/>
  <c r="BX19" i="1"/>
  <c r="BY19" i="1" l="1"/>
  <c r="BZ18" i="1"/>
  <c r="BZ19" i="1" l="1"/>
  <c r="CA18" i="1"/>
  <c r="CA19" i="1" l="1"/>
  <c r="CB18" i="1"/>
  <c r="CB19" i="1" l="1"/>
  <c r="CC18" i="1"/>
  <c r="CC19" i="1" l="1"/>
  <c r="CD18" i="1"/>
  <c r="CD19" i="1" l="1"/>
  <c r="CE18" i="1"/>
  <c r="CE19" i="1" l="1"/>
  <c r="CF18" i="1"/>
  <c r="CG18" i="1" l="1"/>
  <c r="CF19" i="1"/>
  <c r="CH18" i="1" l="1"/>
  <c r="CG19" i="1"/>
  <c r="CI18" i="1" l="1"/>
  <c r="CH19" i="1"/>
  <c r="CI19" i="1" l="1"/>
  <c r="CJ18" i="1"/>
  <c r="CJ19" i="1" l="1"/>
  <c r="CK18" i="1"/>
  <c r="CK19" i="1" l="1"/>
  <c r="CL18" i="1"/>
  <c r="CL19" i="1" l="1"/>
  <c r="CM18" i="1"/>
  <c r="CM19" i="1" l="1"/>
  <c r="CN18" i="1"/>
  <c r="CN19" i="1" l="1"/>
  <c r="CO18" i="1"/>
  <c r="CO19" i="1" l="1"/>
  <c r="CP18" i="1"/>
  <c r="CQ18" i="1" l="1"/>
  <c r="CP19" i="1"/>
  <c r="CR18" i="1" l="1"/>
  <c r="CQ19" i="1"/>
  <c r="CS18" i="1" l="1"/>
  <c r="CR19" i="1"/>
  <c r="CS19" i="1" l="1"/>
  <c r="CT18" i="1"/>
  <c r="CT19" i="1" l="1"/>
  <c r="CU18" i="1"/>
  <c r="CU19" i="1" l="1"/>
  <c r="CV18" i="1"/>
  <c r="CV19" i="1" l="1"/>
  <c r="CW18" i="1"/>
  <c r="CW19" i="1" l="1"/>
  <c r="CX18" i="1"/>
  <c r="CX19" i="1" l="1"/>
  <c r="CY18" i="1"/>
  <c r="CY19" i="1" l="1"/>
  <c r="CZ18" i="1"/>
  <c r="DA18" i="1" l="1"/>
  <c r="CZ19" i="1"/>
  <c r="DB18" i="1" l="1"/>
  <c r="DA19" i="1"/>
  <c r="DC18" i="1" l="1"/>
  <c r="DB19" i="1"/>
  <c r="DC19" i="1" l="1"/>
  <c r="DD18" i="1"/>
  <c r="DD19" i="1" l="1"/>
  <c r="DE18" i="1"/>
  <c r="DE19" i="1" l="1"/>
  <c r="DF18" i="1"/>
  <c r="DF19" i="1" l="1"/>
  <c r="DG18" i="1"/>
  <c r="DG19" i="1" l="1"/>
  <c r="DH18" i="1"/>
  <c r="DH19" i="1" l="1"/>
  <c r="DI18" i="1"/>
  <c r="DI19" i="1" l="1"/>
  <c r="DJ18" i="1"/>
  <c r="DK18" i="1" l="1"/>
  <c r="DJ19" i="1"/>
  <c r="DL18" i="1" l="1"/>
  <c r="DK19" i="1"/>
  <c r="DM18" i="1" l="1"/>
  <c r="DL19" i="1"/>
  <c r="DM19" i="1" l="1"/>
  <c r="DN18" i="1"/>
  <c r="DN19" i="1" l="1"/>
  <c r="DO18" i="1"/>
  <c r="DO19" i="1" l="1"/>
  <c r="DP18" i="1"/>
  <c r="DP19" i="1" l="1"/>
  <c r="DQ18" i="1"/>
  <c r="DQ19" i="1" l="1"/>
  <c r="DR18" i="1"/>
  <c r="DR19" i="1" l="1"/>
  <c r="DS18" i="1"/>
  <c r="DS19" i="1" l="1"/>
  <c r="DT18" i="1"/>
  <c r="DU18" i="1" l="1"/>
  <c r="DT19" i="1"/>
  <c r="DV18" i="1" l="1"/>
  <c r="DU19" i="1"/>
  <c r="DW18" i="1" l="1"/>
  <c r="DV19" i="1"/>
  <c r="DW19" i="1" l="1"/>
  <c r="DX18" i="1"/>
  <c r="DX19" i="1" l="1"/>
  <c r="DY18" i="1"/>
  <c r="DY19" i="1" l="1"/>
  <c r="DZ18" i="1"/>
  <c r="DZ19" i="1" l="1"/>
  <c r="EA18" i="1"/>
  <c r="EA19" i="1" l="1"/>
  <c r="EB18" i="1"/>
  <c r="EB19" i="1" l="1"/>
  <c r="EC18" i="1"/>
  <c r="EC19" i="1" l="1"/>
  <c r="ED18" i="1"/>
  <c r="EE18" i="1" l="1"/>
  <c r="ED19" i="1"/>
  <c r="EF18" i="1" l="1"/>
  <c r="EE19" i="1"/>
  <c r="EG18" i="1" l="1"/>
  <c r="EF19" i="1"/>
  <c r="EG19" i="1" l="1"/>
  <c r="EH18" i="1"/>
  <c r="EH19" i="1" l="1"/>
  <c r="EI18" i="1"/>
  <c r="EI19" i="1" l="1"/>
  <c r="EJ18" i="1"/>
  <c r="EJ19" i="1" l="1"/>
  <c r="EK18" i="1"/>
  <c r="EK19" i="1" l="1"/>
  <c r="EL18" i="1"/>
  <c r="EL19" i="1" l="1"/>
  <c r="EM18" i="1"/>
  <c r="EM19" i="1" l="1"/>
  <c r="EN18" i="1"/>
  <c r="EO18" i="1" l="1"/>
  <c r="EN19" i="1"/>
  <c r="EP18" i="1" l="1"/>
  <c r="EO19" i="1"/>
  <c r="EQ18" i="1" l="1"/>
  <c r="EP19" i="1"/>
  <c r="EQ19" i="1" l="1"/>
  <c r="ER18" i="1"/>
  <c r="ER19" i="1" l="1"/>
  <c r="ES18" i="1"/>
  <c r="ES19" i="1" l="1"/>
  <c r="ET18" i="1"/>
  <c r="ET19" i="1" l="1"/>
  <c r="EU18" i="1"/>
  <c r="EU19" i="1" l="1"/>
  <c r="EV18" i="1"/>
  <c r="EV19" i="1" l="1"/>
  <c r="EW18" i="1"/>
  <c r="EW19" i="1" l="1"/>
  <c r="EX18" i="1"/>
  <c r="EY18" i="1" l="1"/>
  <c r="EX19" i="1"/>
  <c r="EZ18" i="1" l="1"/>
  <c r="EY19" i="1"/>
  <c r="FA18" i="1" l="1"/>
  <c r="EZ19" i="1"/>
  <c r="FA19" i="1" l="1"/>
  <c r="FB18" i="1"/>
  <c r="FB19" i="1" l="1"/>
  <c r="FC18" i="1"/>
  <c r="FC19" i="1" l="1"/>
  <c r="FD18" i="1"/>
  <c r="FD19" i="1" l="1"/>
  <c r="FE18" i="1"/>
  <c r="FE19" i="1" l="1"/>
  <c r="FF18" i="1"/>
  <c r="FF19" i="1" l="1"/>
  <c r="FG18" i="1"/>
  <c r="FG19" i="1" l="1"/>
  <c r="FH18" i="1"/>
  <c r="FI18" i="1" l="1"/>
  <c r="FH19" i="1"/>
  <c r="FJ18" i="1" l="1"/>
  <c r="FI19" i="1"/>
  <c r="FK18" i="1" l="1"/>
  <c r="FJ19" i="1"/>
  <c r="FK19" i="1" l="1"/>
  <c r="FL18" i="1"/>
  <c r="FL19" i="1" l="1"/>
  <c r="FM18" i="1"/>
  <c r="FM19" i="1" l="1"/>
  <c r="FN18" i="1"/>
  <c r="FN19" i="1" l="1"/>
  <c r="FO18" i="1"/>
  <c r="FO19" i="1" l="1"/>
  <c r="FP18" i="1"/>
  <c r="FP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Henriquez, Walter Antonio</author>
  </authors>
  <commentList>
    <comment ref="D15" authorId="0" shapeId="0" xr:uid="{C0844AD5-3A42-ED4D-A4D3-DEF80D6278D1}">
      <text>
        <r>
          <rPr>
            <sz val="11"/>
            <color rgb="FF000000"/>
            <rFont val="Palatino Linotype"/>
            <family val="1"/>
          </rPr>
          <t>Henriquez, Walter Antonio:</t>
        </r>
        <r>
          <rPr>
            <sz val="11"/>
            <color rgb="FF000000"/>
            <rFont val="Lucida Sans"/>
            <family val="2"/>
          </rPr>
          <t xml:space="preserve">
</t>
        </r>
        <r>
          <rPr>
            <sz val="11"/>
            <color rgb="FF000000"/>
            <rFont val="Lucida Sans"/>
            <family val="2"/>
          </rPr>
          <t>=VLOOKUP(D8,BypassWeeks,3,FALSE)</t>
        </r>
      </text>
    </comment>
  </commentList>
</comments>
</file>

<file path=xl/sharedStrings.xml><?xml version="1.0" encoding="utf-8"?>
<sst xmlns="http://schemas.openxmlformats.org/spreadsheetml/2006/main" count="1351" uniqueCount="412">
  <si>
    <t>SITE1 Dam Inputs</t>
  </si>
  <si>
    <t>Python Variable Names</t>
  </si>
  <si>
    <t>Name</t>
  </si>
  <si>
    <t>Single input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</si>
  <si>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</si>
  <si>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</si>
  <si>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</si>
  <si>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</si>
  <si>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</si>
  <si>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</si>
  <si>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</si>
  <si>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</si>
  <si>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</si>
  <si>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</si>
  <si>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</si>
  <si>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</si>
  <si>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</si>
  <si>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</si>
  <si>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</si>
  <si>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</si>
  <si>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</si>
  <si>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</si>
  <si>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</si>
  <si>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</si>
  <si>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</si>
  <si>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</si>
  <si>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</si>
  <si>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</si>
  <si>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</si>
  <si>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</si>
  <si>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</si>
  <si>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</si>
  <si>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</si>
  <si>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</si>
  <si>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</si>
  <si>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</si>
  <si>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</si>
  <si>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</si>
  <si>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</si>
  <si>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</si>
  <si>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</si>
  <si>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</si>
  <si>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</si>
  <si>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</si>
  <si>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</si>
  <si>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</si>
  <si>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</si>
  <si>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</si>
  <si>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</si>
  <si>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</si>
  <si>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</si>
  <si>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</si>
  <si>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</si>
  <si>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</si>
  <si>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</si>
  <si>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</si>
  <si>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</si>
  <si>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</si>
  <si>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</si>
  <si>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</si>
  <si>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</si>
  <si>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</si>
  <si>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</si>
  <si>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</si>
  <si>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</si>
  <si>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</si>
  <si>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</si>
  <si>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</si>
  <si>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</si>
  <si>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</si>
  <si>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</si>
  <si>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</si>
  <si>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</si>
  <si>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</si>
  <si>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</si>
  <si>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</si>
  <si>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</si>
  <si>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</si>
  <si>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</si>
  <si>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</si>
  <si>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</si>
  <si>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</si>
  <si>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</si>
  <si>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</si>
  <si>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</si>
  <si>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</si>
  <si>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</si>
  <si>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</si>
  <si>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</si>
  <si>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</si>
  <si>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</si>
  <si>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</si>
  <si>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</si>
  <si>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</si>
  <si>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</si>
  <si>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</si>
  <si>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</si>
  <si>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</si>
  <si>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</si>
  <si>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</si>
  <si>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</si>
  <si>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</si>
  <si>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</si>
  <si>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</si>
  <si>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</si>
  <si>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</si>
  <si>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</si>
  <si>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</si>
  <si>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</si>
  <si>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</si>
  <si>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</si>
  <si>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</si>
  <si>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</si>
  <si>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</si>
  <si>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</si>
  <si>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</si>
  <si>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</si>
  <si>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</si>
  <si>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</si>
  <si>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</si>
  <si>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</si>
  <si>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</si>
  <si>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</si>
  <si>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</si>
  <si>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</si>
  <si>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</si>
  <si>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</si>
  <si>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</si>
  <si>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</si>
  <si>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</si>
  <si>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</si>
  <si>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</si>
  <si>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</si>
  <si>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</si>
  <si>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</si>
  <si>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</si>
  <si>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</si>
  <si>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</si>
  <si>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</si>
  <si>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</si>
  <si>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</si>
  <si>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</si>
  <si>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</si>
  <si>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</si>
  <si>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</si>
  <si>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</si>
  <si>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</si>
  <si>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</si>
  <si>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</si>
  <si>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</si>
  <si>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</si>
  <si>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</si>
  <si>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</si>
  <si>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</si>
  <si>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</si>
  <si>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</si>
  <si>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</si>
  <si>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</si>
  <si>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</si>
  <si>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</si>
  <si>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</si>
  <si>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</si>
  <si>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</si>
  <si>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</si>
  <si>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</si>
  <si>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</si>
  <si>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</si>
  <si>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</si>
  <si>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</si>
  <si>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</si>
  <si>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</si>
  <si>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</si>
  <si>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Sheet info</t>
  </si>
  <si>
    <t>Version</t>
  </si>
  <si>
    <t>version</t>
  </si>
  <si>
    <t>v0.2.4</t>
  </si>
  <si>
    <t>Off</t>
  </si>
  <si>
    <t>Colourcodes</t>
  </si>
  <si>
    <t>Calculations</t>
  </si>
  <si>
    <t>Inputs</t>
  </si>
  <si>
    <t>Helpers</t>
  </si>
  <si>
    <t>Info</t>
  </si>
  <si>
    <t>Bypass Release</t>
  </si>
  <si>
    <t>Convex Hull</t>
  </si>
  <si>
    <t>LP</t>
  </si>
  <si>
    <t>Turbine Release</t>
  </si>
  <si>
    <t>XY</t>
  </si>
  <si>
    <t>MILP</t>
  </si>
  <si>
    <t>Simulation options</t>
  </si>
  <si>
    <t>Total Release</t>
  </si>
  <si>
    <t>Python Environment Path</t>
  </si>
  <si>
    <t>python_path</t>
  </si>
  <si>
    <t>C:\Users\mpavicevic\AppData\Local\miniconda3\envs\tempregpy\python.exe</t>
  </si>
  <si>
    <t>Simulation Folder Name</t>
  </si>
  <si>
    <t>sim_folder</t>
  </si>
  <si>
    <t>Show plots</t>
  </si>
  <si>
    <t>plt_show</t>
  </si>
  <si>
    <t>Simulation type</t>
  </si>
  <si>
    <t>sim_type</t>
  </si>
  <si>
    <t>SUN</t>
  </si>
  <si>
    <t>MON</t>
  </si>
  <si>
    <t>TUE</t>
  </si>
  <si>
    <t>WED</t>
  </si>
  <si>
    <t>THU</t>
  </si>
  <si>
    <t>FRI</t>
  </si>
  <si>
    <t>SAT</t>
  </si>
  <si>
    <t>Multiplication Approximation Method</t>
  </si>
  <si>
    <t>xy_method</t>
  </si>
  <si>
    <t>`</t>
  </si>
  <si>
    <t>Edge elements</t>
  </si>
  <si>
    <t>edge_elements</t>
  </si>
  <si>
    <t>recommended number is 3, minimum is 1, the larger the number the more accurate the temperature approximation at RM will be</t>
  </si>
  <si>
    <t>Optimality Gap</t>
  </si>
  <si>
    <t>opt_gap</t>
  </si>
  <si>
    <t>Simulation time</t>
  </si>
  <si>
    <t>sim_time</t>
  </si>
  <si>
    <t>if set to 0 solver will continue untill optimal solution is found</t>
  </si>
  <si>
    <t>StartDate</t>
  </si>
  <si>
    <t>DateStart</t>
  </si>
  <si>
    <t>EndDate</t>
  </si>
  <si>
    <t>DateEnd</t>
  </si>
  <si>
    <t>Datetime Helper functions</t>
  </si>
  <si>
    <t>Hourly Timeseries</t>
  </si>
  <si>
    <t>Day of month</t>
  </si>
  <si>
    <t>Daily Timeseries</t>
  </si>
  <si>
    <t>Names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</si>
  <si>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</si>
  <si>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</si>
  <si>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</si>
  <si>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</si>
  <si>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</si>
  <si>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</si>
  <si>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</si>
  <si>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</si>
  <si>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</si>
  <si>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</si>
  <si>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</si>
  <si>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</si>
  <si>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</si>
  <si>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</si>
  <si>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</si>
  <si>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</si>
  <si>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</si>
  <si>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</si>
  <si>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</si>
  <si>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</si>
  <si>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</si>
  <si>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</si>
  <si>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</si>
  <si>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</si>
  <si>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Plants</t>
  </si>
  <si>
    <t>plants</t>
  </si>
  <si>
    <t>SITE1</t>
  </si>
  <si>
    <t>Gauges</t>
  </si>
  <si>
    <t>gauges</t>
  </si>
  <si>
    <t>SITE2</t>
  </si>
  <si>
    <t>Power Nodes</t>
  </si>
  <si>
    <t>nodes</t>
  </si>
  <si>
    <t>Node 1</t>
  </si>
  <si>
    <t>River Topology</t>
  </si>
  <si>
    <t>river_topology</t>
  </si>
  <si>
    <t>SITE1 - SITE2</t>
  </si>
  <si>
    <t>Plant supply to Power Node</t>
  </si>
  <si>
    <t>plant_to_node</t>
  </si>
  <si>
    <t>SITE1 - Node 1</t>
  </si>
  <si>
    <t>Sources</t>
  </si>
  <si>
    <t>sources</t>
  </si>
  <si>
    <t>Sinks</t>
  </si>
  <si>
    <t>sinks</t>
  </si>
  <si>
    <t>Water</t>
  </si>
  <si>
    <t>Flow Limits From node I to node J</t>
  </si>
  <si>
    <t>Max Flow From SITE1 - SITE2</t>
  </si>
  <si>
    <t>Flow_i_j_max</t>
  </si>
  <si>
    <t>Min Flow From SITE1 - SITE2</t>
  </si>
  <si>
    <t>Flow_i_j_min</t>
  </si>
  <si>
    <t>Total daily release</t>
  </si>
  <si>
    <t>D01</t>
  </si>
  <si>
    <t>D02</t>
  </si>
  <si>
    <t>D03</t>
  </si>
  <si>
    <t>D04</t>
  </si>
  <si>
    <t>D05</t>
  </si>
  <si>
    <t>D06</t>
  </si>
  <si>
    <t>D07</t>
  </si>
  <si>
    <t>Total release - daily (AF)</t>
  </si>
  <si>
    <t>Q_tot_daily</t>
  </si>
  <si>
    <t>Release type whose pattern should be repeated for the same day type</t>
  </si>
  <si>
    <t>cnstr_pattern_repeat</t>
  </si>
  <si>
    <t>Maximum daily operating range</t>
  </si>
  <si>
    <t>cnstr_oper_range</t>
  </si>
  <si>
    <t>Maximum change between minimum and maximum release - daily (CFS)</t>
  </si>
  <si>
    <t>Q_max_daily_change</t>
  </si>
  <si>
    <t>Bypass Release Constraints</t>
  </si>
  <si>
    <t>cnstr_bp_ramp</t>
  </si>
  <si>
    <t>Bypass release RampDown rate (CFS/h)</t>
  </si>
  <si>
    <t>Q_bp_ramp_down_max</t>
  </si>
  <si>
    <t>Bypass release RampUp rate (CFS/h)</t>
  </si>
  <si>
    <t>Q_bp_ramp_up_max</t>
  </si>
  <si>
    <t>Bypass forced commitment state (-)</t>
  </si>
  <si>
    <t>bp_forced_commit</t>
  </si>
  <si>
    <t>Bypass release minimum - hourly (CFS)</t>
  </si>
  <si>
    <t>Q_bp_min_values</t>
  </si>
  <si>
    <t>Bypass release maximum - hourly (CFS)</t>
  </si>
  <si>
    <t>Q_bp_max_values</t>
  </si>
  <si>
    <t>Bypass cycling constraint t01=t24</t>
  </si>
  <si>
    <t>cnstr_bp_t01t24</t>
  </si>
  <si>
    <t>Bypass release number of RampDown cycles</t>
  </si>
  <si>
    <t>bp_ramp_down_cyc</t>
  </si>
  <si>
    <t>Bypass release number of RampUp cycles</t>
  </si>
  <si>
    <t>bp_ramp_up_cyc</t>
  </si>
  <si>
    <t>Bypass release number of total ramp up and down cycles</t>
  </si>
  <si>
    <t>bp_ramp_tot_cyc</t>
  </si>
  <si>
    <t>Turbine Release Constraints</t>
  </si>
  <si>
    <t>cnstr_tur_ramp</t>
  </si>
  <si>
    <t>Turbine release RampDown rate (CFS/h)</t>
  </si>
  <si>
    <t>Q_tur_ramp_down_max</t>
  </si>
  <si>
    <t>Turbine release RampUp rate (CFS/h)</t>
  </si>
  <si>
    <t>Q_tur_ramp_up_max</t>
  </si>
  <si>
    <t>Turbine release minimum - hourly (CFS)</t>
  </si>
  <si>
    <t>Q_tur_min_values</t>
  </si>
  <si>
    <t>Turbine release maximum - hourly (CFS)</t>
  </si>
  <si>
    <t>Q_tur_max_values</t>
  </si>
  <si>
    <t>Turbine cycling constraint t01=t24</t>
  </si>
  <si>
    <t>cnstr_tur_t01t24</t>
  </si>
  <si>
    <t>Total Release Constraints</t>
  </si>
  <si>
    <t>cnstr_tot_ramp</t>
  </si>
  <si>
    <t>Total release RampUp rate (CFS/h)</t>
  </si>
  <si>
    <t>Q_tot_ramp_up_max</t>
  </si>
  <si>
    <t>Total release RampDown rate (CFS/h)</t>
  </si>
  <si>
    <t>Q_tot_ramp_down_max</t>
  </si>
  <si>
    <t>Total release minimum - hourly (CFS)</t>
  </si>
  <si>
    <t>Q_tot_min_values</t>
  </si>
  <si>
    <t>Total release maximum - hourly (CFS)</t>
  </si>
  <si>
    <t>Q_tot_max_values</t>
  </si>
  <si>
    <t>Total release cycling constraint t01=t24</t>
  </si>
  <si>
    <t>cnstr_tot_t01t24</t>
  </si>
  <si>
    <t>Gauge Release Constraints</t>
  </si>
  <si>
    <t>cnstr_gg_ramp</t>
  </si>
  <si>
    <t>Gauge release RampDown rate (CFS/h)</t>
  </si>
  <si>
    <t>Q_gg_ramp_up_max</t>
  </si>
  <si>
    <t>Gauge release RampUp rate (CFS/h)</t>
  </si>
  <si>
    <t>Q_gg_ramp_down_max</t>
  </si>
  <si>
    <t>Gauge release minimum - hourly (CFS)</t>
  </si>
  <si>
    <t>Q_gg_min_values</t>
  </si>
  <si>
    <t>Gauge release maximum - hourly (CFS)</t>
  </si>
  <si>
    <t>Q_gg_max_values</t>
  </si>
  <si>
    <t>Gauge release cycling constraint t01=t24</t>
  </si>
  <si>
    <t>cnstr_gg_t01t24</t>
  </si>
  <si>
    <t>Temperature</t>
  </si>
  <si>
    <t>Bypass temperature - hourly (°C or °F)</t>
  </si>
  <si>
    <t>T_bp_values</t>
  </si>
  <si>
    <t>Turbine temperature - hourly (°C or °F)</t>
  </si>
  <si>
    <t>T_tur_values</t>
  </si>
  <si>
    <t>Temperature cycling constraint t01=t24</t>
  </si>
  <si>
    <t>cnstr_temp_t01t24</t>
  </si>
  <si>
    <t>Maximum temperature @ SITE2 - hourly (°C or °F)</t>
  </si>
  <si>
    <t>T_gauge_hourly_max_values</t>
  </si>
  <si>
    <t>Minimum temperature @ SITE2 - hourly (°C or °F)</t>
  </si>
  <si>
    <t>T_gauge_hourly_min_values</t>
  </si>
  <si>
    <t>Temperature delta between SITE1 and SITE2 - hourly (°C or °F)</t>
  </si>
  <si>
    <t>dT_hourly_values</t>
  </si>
  <si>
    <t>Maximum average temperature @ SITE2 - daily (°C or °F)</t>
  </si>
  <si>
    <t>T_gauge_daily</t>
  </si>
  <si>
    <t>Average temperature delta between SITE1 and SITE2 - daily (°C or °F)</t>
  </si>
  <si>
    <t>dT_daily</t>
  </si>
  <si>
    <t>Power</t>
  </si>
  <si>
    <t>Power Turbine - min (MW)</t>
  </si>
  <si>
    <t>P_tur_min_values</t>
  </si>
  <si>
    <t>Power Turbine - max (MW)</t>
  </si>
  <si>
    <t>P_tur_max_values</t>
  </si>
  <si>
    <t>Water to Power Conversion Factor (MW/CFS)</t>
  </si>
  <si>
    <t>WaterToPowerConversion</t>
  </si>
  <si>
    <t>Demand</t>
  </si>
  <si>
    <t>Demand (MWh)</t>
  </si>
  <si>
    <t>Demand_values</t>
  </si>
  <si>
    <t>Price</t>
  </si>
  <si>
    <t>Hourly LMPs</t>
  </si>
  <si>
    <t>LMP_values</t>
  </si>
  <si>
    <t>Bypass release ramp up penalty cost ($/CFS)</t>
  </si>
  <si>
    <t>C_bp_ramp_up</t>
  </si>
  <si>
    <t>Bypass release ramp down penalty cost ($/CFS)</t>
  </si>
  <si>
    <t>C_bp_ramp_down</t>
  </si>
  <si>
    <t>Turbine release ramp up penalty cost ($/CFS)</t>
  </si>
  <si>
    <t>C_tur_ramp_up</t>
  </si>
  <si>
    <t>Turbine release ramp down penalty cost ($/CFS)</t>
  </si>
  <si>
    <t>C_tur_ramp_down</t>
  </si>
  <si>
    <t>Total release ramp up penalty cost ($/CFS)</t>
  </si>
  <si>
    <t>C_tot_ramp_up</t>
  </si>
  <si>
    <t>Total release ramp down penalty cost ($/CFS)</t>
  </si>
  <si>
    <t>C_tot_ramp_down</t>
  </si>
  <si>
    <t>Gage release ramp up penalty cost ($/CFS)</t>
  </si>
  <si>
    <t>C_gg_ramp_up</t>
  </si>
  <si>
    <t>Gage release ramp down penalty cost ($/CFS)</t>
  </si>
  <si>
    <t>C_gg_ramp_down</t>
  </si>
  <si>
    <t>Penalty for breaching equality constraints</t>
  </si>
  <si>
    <t>C_slack</t>
  </si>
  <si>
    <t>The computation time could decrease if this value is set to a reasonable bound, it should be a two or three magnitudes higher than the maximum Hourly LMP</t>
  </si>
  <si>
    <t>Rough Zones</t>
  </si>
  <si>
    <t>R1</t>
  </si>
  <si>
    <t>R2</t>
  </si>
  <si>
    <t>R3</t>
  </si>
  <si>
    <t>R4</t>
  </si>
  <si>
    <t>R5</t>
  </si>
  <si>
    <t>R6</t>
  </si>
  <si>
    <t>R7</t>
  </si>
  <si>
    <t>Rough Zone Constraint</t>
  </si>
  <si>
    <t>cnstr_rough_zone</t>
  </si>
  <si>
    <t>Rough Zone Min Flow Rate</t>
  </si>
  <si>
    <t>Q_rough_zone_min</t>
  </si>
  <si>
    <t>Rough Zone Max Flow Rate</t>
  </si>
  <si>
    <t>Q_rough_zone_max</t>
  </si>
  <si>
    <t/>
  </si>
  <si>
    <t>Might cause infeasibility because Temperature delta between SITE1 and SITE2 at H01 and H24 are not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</si>
</sst>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m/d/yy\ h:mm;@"/>
    <numFmt numFmtId="166" formatCode="0.0"/>
    <numFmt numFmtId="167" formatCode="#,##0.0"/>
    <numFmt numFmtId="168" formatCode="#,##0.0000000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9.8000000000000007"/>
      <color rgb="FFBCBEC4"/>
      <name val="JetBrains Mono"/>
      <family val="3"/>
    </font>
    <font>
      <sz val="18"/>
      <color rgb="FF0E2841"/>
      <name val="Aptos Display"/>
      <family val="2"/>
    </font>
    <font>
      <sz val="11"/>
      <color rgb="FFFF0000"/>
      <name val="Aptos Narrow"/>
      <family val="2"/>
    </font>
    <font>
      <sz val="11"/>
      <color rgb="FFC0E6F5"/>
      <name val="Aptos Narrow"/>
      <family val="2"/>
    </font>
    <font>
      <b/>
      <sz val="13"/>
      <color rgb="FF0E2841"/>
      <name val="Aptos Narrow"/>
      <family val="2"/>
    </font>
    <font>
      <b/>
      <sz val="13"/>
      <color rgb="FFC0E6F5"/>
      <name val="Aptos Narrow"/>
      <family val="2"/>
    </font>
    <font>
      <sz val="11"/>
      <color theme="1"/>
      <name val="Aptos Narrow"/>
      <family val="2"/>
    </font>
    <font>
      <b/>
      <sz val="15"/>
      <color rgb="FF0E2841"/>
      <name val="Aptos Narrow"/>
      <family val="2"/>
    </font>
    <font>
      <sz val="11"/>
      <color rgb="FF215C98"/>
      <name val="Aptos Narrow"/>
      <family val="2"/>
    </font>
    <font>
      <sz val="11"/>
      <color rgb="FF3F3F76"/>
      <name val="Aptos Narrow"/>
      <family val="2"/>
    </font>
    <font>
      <sz val="11"/>
      <color rgb="FF9C5700"/>
      <name val="Aptos Narrow"/>
      <family val="2"/>
    </font>
    <font>
      <i/>
      <sz val="11"/>
      <color rgb="FFFF0000"/>
      <name val="Aptos Narrow"/>
      <family val="2"/>
    </font>
    <font>
      <b/>
      <sz val="11"/>
      <color rgb="FF0E2841"/>
      <name val="Aptos Narrow"/>
      <family val="2"/>
    </font>
    <font>
      <sz val="10"/>
      <color rgb="FF000000"/>
      <name val="Aptos Narrow"/>
      <family val="2"/>
    </font>
    <font>
      <b/>
      <sz val="11"/>
      <color rgb="FF3F3F3F"/>
      <name val="Aptos Narrow"/>
      <family val="2"/>
    </font>
    <font>
      <sz val="11"/>
      <color rgb="FF0E2841"/>
      <name val="Aptos Narrow"/>
      <family val="2"/>
    </font>
    <font>
      <sz val="11"/>
      <color rgb="FF000000"/>
      <name val="Palatino Linotype"/>
      <family val="1"/>
    </font>
    <font>
      <sz val="11"/>
      <color rgb="FF000000"/>
      <name val="Lucida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0E6F5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EB9C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/>
      <bottom style="thick">
        <color rgb="FF64BEE6"/>
      </bottom>
      <diagonal/>
    </border>
    <border>
      <left/>
      <right/>
      <top/>
      <bottom style="thick">
        <color rgb="FF156082"/>
      </bottom>
      <diagonal/>
    </border>
    <border>
      <left/>
      <right/>
      <top/>
      <bottom style="medium">
        <color rgb="FF44B3E1"/>
      </bottom>
      <diagonal/>
    </border>
    <border>
      <left style="thin">
        <color indexed="64"/>
      </left>
      <right/>
      <top/>
      <bottom style="thick">
        <color rgb="FF64BEE6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0" applyNumberFormat="0" applyBorder="0" applyAlignment="0" applyProtection="0"/>
    <xf numFmtId="0" fontId="7" fillId="3" borderId="4" applyNumberFormat="0" applyAlignment="0" applyProtection="0"/>
    <xf numFmtId="0" fontId="8" fillId="4" borderId="5" applyNumberFormat="0" applyAlignment="0" applyProtection="0"/>
    <xf numFmtId="0" fontId="9" fillId="4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8">
    <xf numFmtId="0" fontId="0" fillId="0" borderId="0" xfId="0"/>
    <xf numFmtId="0" fontId="12" fillId="0" borderId="0" xfId="0" applyFont="1" applyAlignment="1">
      <alignment vertical="center"/>
    </xf>
    <xf numFmtId="0" fontId="13" fillId="0" borderId="17" xfId="2" applyFont="1" applyFill="1" applyBorder="1"/>
    <xf numFmtId="0" fontId="15" fillId="5" borderId="17" xfId="10" applyFont="1" applyFill="1" applyBorder="1"/>
    <xf numFmtId="0" fontId="17" fillId="5" borderId="17" xfId="4" applyFont="1" applyFill="1" applyBorder="1" applyAlignment="1">
      <alignment horizontal="center"/>
    </xf>
    <xf numFmtId="0" fontId="18" fillId="0" borderId="7" xfId="0" applyFont="1" applyBorder="1"/>
    <xf numFmtId="0" fontId="18" fillId="0" borderId="0" xfId="0" applyFont="1"/>
    <xf numFmtId="0" fontId="19" fillId="6" borderId="18" xfId="3" applyFont="1" applyFill="1" applyBorder="1"/>
    <xf numFmtId="0" fontId="16" fillId="0" borderId="17" xfId="4" applyFont="1" applyFill="1" applyBorder="1" applyAlignment="1">
      <alignment horizontal="center"/>
    </xf>
    <xf numFmtId="0" fontId="20" fillId="0" borderId="0" xfId="9" applyFont="1" applyFill="1" applyBorder="1"/>
    <xf numFmtId="0" fontId="21" fillId="0" borderId="0" xfId="7" applyFont="1" applyFill="1" applyBorder="1"/>
    <xf numFmtId="0" fontId="22" fillId="10" borderId="0" xfId="6" applyFont="1" applyFill="1" applyBorder="1"/>
    <xf numFmtId="0" fontId="18" fillId="10" borderId="0" xfId="0" applyFont="1" applyFill="1"/>
    <xf numFmtId="0" fontId="22" fillId="9" borderId="0" xfId="6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6" applyFont="1" applyFill="1" applyBorder="1" applyAlignment="1">
      <alignment horizontal="center"/>
    </xf>
    <xf numFmtId="0" fontId="20" fillId="7" borderId="8" xfId="9" applyFont="1" applyFill="1" applyBorder="1"/>
    <xf numFmtId="0" fontId="21" fillId="8" borderId="8" xfId="7" applyFont="1" applyFill="1" applyBorder="1"/>
    <xf numFmtId="0" fontId="22" fillId="9" borderId="0" xfId="6" applyFont="1" applyFill="1" applyBorder="1"/>
    <xf numFmtId="0" fontId="22" fillId="0" borderId="0" xfId="6" applyFont="1" applyFill="1" applyBorder="1"/>
    <xf numFmtId="0" fontId="22" fillId="9" borderId="0" xfId="6" applyFont="1" applyFill="1" applyBorder="1" applyAlignment="1">
      <alignment horizontal="center"/>
    </xf>
    <xf numFmtId="0" fontId="14" fillId="0" borderId="17" xfId="10" applyFont="1" applyFill="1" applyBorder="1"/>
    <xf numFmtId="0" fontId="16" fillId="0" borderId="17" xfId="4" applyFont="1" applyFill="1" applyBorder="1" applyAlignment="1">
      <alignment horizontal="center" vertical="center"/>
    </xf>
    <xf numFmtId="3" fontId="22" fillId="9" borderId="4" xfId="6" applyNumberFormat="1" applyFont="1" applyFill="1" applyBorder="1"/>
    <xf numFmtId="0" fontId="21" fillId="8" borderId="4" xfId="7" applyFont="1" applyFill="1"/>
    <xf numFmtId="0" fontId="23" fillId="0" borderId="9" xfId="11" applyFont="1" applyFill="1" applyBorder="1" applyAlignment="1">
      <alignment horizontal="center" vertical="center"/>
    </xf>
    <xf numFmtId="0" fontId="21" fillId="8" borderId="4" xfId="7" applyFont="1" applyFill="1" applyAlignment="1">
      <alignment horizontal="center" vertical="center"/>
    </xf>
    <xf numFmtId="0" fontId="23" fillId="0" borderId="0" xfId="11" applyFont="1" applyFill="1" applyBorder="1" applyAlignment="1">
      <alignment horizontal="center" vertical="center"/>
    </xf>
    <xf numFmtId="3" fontId="21" fillId="8" borderId="4" xfId="7" applyNumberFormat="1" applyFont="1" applyFill="1"/>
    <xf numFmtId="0" fontId="23" fillId="0" borderId="6" xfId="11" applyFont="1" applyFill="1" applyBorder="1"/>
    <xf numFmtId="164" fontId="21" fillId="8" borderId="4" xfId="1" applyNumberFormat="1" applyFont="1" applyFill="1" applyBorder="1"/>
    <xf numFmtId="165" fontId="21" fillId="8" borderId="4" xfId="7" applyNumberFormat="1" applyFont="1" applyFill="1"/>
    <xf numFmtId="166" fontId="20" fillId="7" borderId="4" xfId="9" applyNumberFormat="1" applyFont="1" applyFill="1" applyAlignment="1">
      <alignment horizontal="center" vertical="center"/>
    </xf>
    <xf numFmtId="165" fontId="21" fillId="8" borderId="10" xfId="7" applyNumberFormat="1" applyFont="1" applyFill="1" applyBorder="1"/>
    <xf numFmtId="166" fontId="20" fillId="7" borderId="10" xfId="9" applyNumberFormat="1" applyFont="1" applyFill="1" applyBorder="1" applyAlignment="1">
      <alignment horizontal="center" vertical="center"/>
    </xf>
    <xf numFmtId="0" fontId="24" fillId="0" borderId="19" xfId="5" applyFont="1" applyFill="1" applyBorder="1"/>
    <xf numFmtId="165" fontId="21" fillId="0" borderId="0" xfId="7" applyNumberFormat="1" applyFont="1" applyFill="1" applyBorder="1"/>
    <xf numFmtId="166" fontId="20" fillId="0" borderId="0" xfId="9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indent="1"/>
    </xf>
    <xf numFmtId="165" fontId="23" fillId="0" borderId="0" xfId="11" applyNumberFormat="1" applyFont="1" applyFill="1" applyBorder="1"/>
    <xf numFmtId="165" fontId="23" fillId="0" borderId="7" xfId="11" applyNumberFormat="1" applyFont="1" applyFill="1" applyBorder="1"/>
    <xf numFmtId="0" fontId="25" fillId="0" borderId="7" xfId="0" applyFont="1" applyBorder="1"/>
    <xf numFmtId="0" fontId="25" fillId="0" borderId="0" xfId="0" applyFont="1"/>
    <xf numFmtId="1" fontId="23" fillId="0" borderId="0" xfId="11" applyNumberFormat="1" applyFont="1" applyFill="1" applyBorder="1"/>
    <xf numFmtId="14" fontId="23" fillId="0" borderId="0" xfId="11" applyNumberFormat="1" applyFont="1" applyFill="1" applyBorder="1"/>
    <xf numFmtId="3" fontId="21" fillId="8" borderId="11" xfId="7" applyNumberFormat="1" applyFont="1" applyFill="1" applyBorder="1"/>
    <xf numFmtId="0" fontId="16" fillId="0" borderId="20" xfId="4" applyFont="1" applyFill="1" applyBorder="1" applyAlignment="1">
      <alignment horizontal="center"/>
    </xf>
    <xf numFmtId="3" fontId="26" fillId="11" borderId="5" xfId="8" applyNumberFormat="1" applyFont="1" applyFill="1"/>
    <xf numFmtId="3" fontId="26" fillId="11" borderId="12" xfId="8" applyNumberFormat="1" applyFont="1" applyFill="1" applyBorder="1"/>
    <xf numFmtId="3" fontId="26" fillId="11" borderId="13" xfId="8" applyNumberFormat="1" applyFont="1" applyFill="1" applyBorder="1"/>
    <xf numFmtId="3" fontId="21" fillId="0" borderId="7" xfId="7" applyNumberFormat="1" applyFont="1" applyFill="1" applyBorder="1"/>
    <xf numFmtId="3" fontId="21" fillId="0" borderId="0" xfId="7" applyNumberFormat="1" applyFont="1" applyFill="1" applyBorder="1"/>
    <xf numFmtId="3" fontId="21" fillId="0" borderId="4" xfId="7" applyNumberFormat="1" applyFont="1" applyFill="1"/>
    <xf numFmtId="0" fontId="27" fillId="0" borderId="0" xfId="5" applyFont="1" applyFill="1" applyBorder="1" applyAlignment="1">
      <alignment horizontal="left" indent="1"/>
    </xf>
    <xf numFmtId="0" fontId="23" fillId="0" borderId="0" xfId="11" applyFont="1" applyFill="1" applyBorder="1"/>
    <xf numFmtId="0" fontId="27" fillId="0" borderId="19" xfId="5" applyFont="1" applyFill="1" applyBorder="1" applyAlignment="1">
      <alignment horizontal="left" indent="1"/>
    </xf>
    <xf numFmtId="167" fontId="26" fillId="11" borderId="5" xfId="8" applyNumberFormat="1" applyFont="1" applyFill="1"/>
    <xf numFmtId="167" fontId="26" fillId="11" borderId="12" xfId="8" applyNumberFormat="1" applyFont="1" applyFill="1" applyBorder="1"/>
    <xf numFmtId="167" fontId="26" fillId="11" borderId="13" xfId="8" applyNumberFormat="1" applyFont="1" applyFill="1" applyBorder="1"/>
    <xf numFmtId="167" fontId="23" fillId="0" borderId="6" xfId="11" applyNumberFormat="1" applyFont="1" applyFill="1" applyBorder="1"/>
    <xf numFmtId="167" fontId="23" fillId="0" borderId="14" xfId="11" applyNumberFormat="1" applyFont="1" applyFill="1" applyBorder="1"/>
    <xf numFmtId="167" fontId="23" fillId="0" borderId="15" xfId="11" applyNumberFormat="1" applyFont="1" applyFill="1" applyBorder="1"/>
    <xf numFmtId="3" fontId="21" fillId="8" borderId="10" xfId="7" applyNumberFormat="1" applyFont="1" applyFill="1" applyBorder="1"/>
    <xf numFmtId="167" fontId="21" fillId="0" borderId="0" xfId="7" applyNumberFormat="1" applyFont="1" applyFill="1" applyBorder="1"/>
    <xf numFmtId="167" fontId="21" fillId="0" borderId="7" xfId="7" applyNumberFormat="1" applyFont="1" applyFill="1" applyBorder="1"/>
    <xf numFmtId="3" fontId="21" fillId="8" borderId="8" xfId="7" applyNumberFormat="1" applyFont="1" applyFill="1" applyBorder="1"/>
    <xf numFmtId="166" fontId="21" fillId="0" borderId="8" xfId="7" applyNumberFormat="1" applyFont="1" applyFill="1" applyBorder="1"/>
    <xf numFmtId="166" fontId="20" fillId="0" borderId="4" xfId="9" applyNumberFormat="1" applyFont="1" applyFill="1"/>
    <xf numFmtId="2" fontId="20" fillId="7" borderId="4" xfId="9" applyNumberFormat="1" applyFont="1" applyFill="1"/>
    <xf numFmtId="3" fontId="21" fillId="0" borderId="10" xfId="7" applyNumberFormat="1" applyFont="1" applyFill="1" applyBorder="1"/>
    <xf numFmtId="3" fontId="20" fillId="0" borderId="0" xfId="9" applyNumberFormat="1" applyFont="1" applyFill="1" applyBorder="1"/>
    <xf numFmtId="3" fontId="20" fillId="0" borderId="7" xfId="9" applyNumberFormat="1" applyFont="1" applyFill="1" applyBorder="1"/>
    <xf numFmtId="0" fontId="21" fillId="0" borderId="8" xfId="7" applyFont="1" applyFill="1" applyBorder="1"/>
    <xf numFmtId="168" fontId="26" fillId="11" borderId="5" xfId="8" applyNumberFormat="1" applyFont="1" applyFill="1"/>
    <xf numFmtId="0" fontId="21" fillId="8" borderId="4" xfId="7" applyFont="1" applyFill="1" applyAlignment="1">
      <alignment vertical="center"/>
    </xf>
    <xf numFmtId="0" fontId="21" fillId="8" borderId="16" xfId="7" applyFont="1" applyFill="1" applyBorder="1" applyAlignment="1">
      <alignment vertical="center"/>
    </xf>
    <xf numFmtId="0" fontId="27" fillId="0" borderId="0" xfId="5" applyFont="1" applyFill="1" applyBorder="1" applyAlignment="1">
      <alignment horizontal="left"/>
    </xf>
    <xf numFmtId="167" fontId="21" fillId="8" borderId="4" xfId="7" applyNumberFormat="1" applyFont="1" applyFill="1"/>
  </cellXfs>
  <cellStyles count="12">
    <cellStyle name="Calculation" xfId="9" builtinId="22"/>
    <cellStyle name="Explanatory Text" xfId="11" builtinId="53"/>
    <cellStyle name="Heading 1" xfId="3" builtinId="16"/>
    <cellStyle name="Heading 2" xfId="4" builtinId="17"/>
    <cellStyle name="Heading 3" xfId="5" builtinId="18"/>
    <cellStyle name="Input" xfId="7" builtinId="20"/>
    <cellStyle name="Neutral" xfId="6" builtinId="28"/>
    <cellStyle name="Normal" xfId="0" builtinId="0"/>
    <cellStyle name="Output" xfId="8" builtinId="21"/>
    <cellStyle name="Percent" xfId="1" builtinId="5"/>
    <cellStyle name="Title" xfId="2" builtinId="15"/>
    <cellStyle name="Warning Text" xfId="10" builtinId="11"/>
  </cellStyles>
  <dxfs count="100"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156082"/>
      </font>
      <fill>
        <patternFill>
          <bgColor rgb="FFFBE2D5"/>
        </patternFill>
      </fill>
    </dxf>
    <dxf>
      <font>
        <color rgb="FF156082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strike/>
        <color rgb="FFC00000"/>
      </font>
      <numFmt numFmtId="1" formatCode="0"/>
      <fill>
        <patternFill>
          <bgColor rgb="FFFBE2D5"/>
        </patternFill>
      </fill>
    </dxf>
    <dxf>
      <font>
        <strike/>
        <color rgb="FFC00000"/>
      </font>
      <numFmt numFmtId="1" formatCode="0"/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ont>
        <color rgb="FF0070C0"/>
      </font>
      <fill>
        <patternFill>
          <bgColor rgb="FFFBE2D5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rgb="FFDAF2D0"/>
        </patternFill>
      </fill>
    </dxf>
    <dxf>
      <font>
        <color rgb="FFFFFFFF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strike/>
        <color rgb="FFC00000"/>
      </font>
      <numFmt numFmtId="1" formatCode="0"/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strike/>
        <color rgb="FFC00000"/>
      </font>
      <numFmt numFmtId="1" formatCode="0"/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14B2-F230-E04E-849C-1BB6C5F8B35E}">
  <dimension ref="A1:FQ105"/>
  <sheetViews>
    <sheetView tabSelected="1" topLeftCell="A23" workbookViewId="0">
      <selection activeCell="D29" sqref="D29"/>
    </sheetView>
  </sheetViews>
  <sheetFormatPr baseColWidth="10" defaultColWidth="8.6640625" defaultRowHeight="15" x14ac:dyDescent="0.2"/>
  <cols>
    <col min="1" max="1" width="69.33203125" style="6" bestFit="1" customWidth="1"/>
    <col min="2" max="2" width="29" style="6" bestFit="1" customWidth="1"/>
    <col min="3" max="3" width="12.5" style="6" customWidth="1"/>
    <col min="4" max="4" width="13.1640625" style="6" bestFit="1" customWidth="1"/>
    <col min="5" max="6" width="11.6640625" style="6" bestFit="1" customWidth="1"/>
    <col min="7" max="28" width="12.6640625" style="6" customWidth="1"/>
    <col min="29" max="29" width="12.6640625" style="5" customWidth="1"/>
    <col min="30" max="52" width="12.6640625" style="6" customWidth="1"/>
    <col min="53" max="53" width="12.6640625" style="5" customWidth="1"/>
    <col min="54" max="76" width="12.6640625" style="6" customWidth="1"/>
    <col min="77" max="77" width="12.6640625" style="5" customWidth="1"/>
    <col min="78" max="100" width="12.6640625" style="6" customWidth="1"/>
    <col min="101" max="101" width="12.6640625" style="5" customWidth="1"/>
    <col min="102" max="124" width="12.6640625" style="6" customWidth="1"/>
    <col min="125" max="125" width="12.6640625" style="5" customWidth="1"/>
    <col min="126" max="148" width="12.6640625" style="6" customWidth="1"/>
    <col min="149" max="149" width="12.6640625" style="5" customWidth="1"/>
    <col min="150" max="158" width="11.6640625" style="6" bestFit="1" customWidth="1"/>
    <col min="159" max="172" width="12.6640625" style="6" bestFit="1" customWidth="1"/>
    <col min="173" max="173" width="8.6640625" style="5"/>
    <col min="174" max="16384" width="8.6640625" style="6"/>
  </cols>
  <sheetData>
    <row r="1" spans="1:172" ht="2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</row>
    <row r="2" spans="1:172" ht="22" thickTop="1" thickBot="1" x14ac:dyDescent="0.3">
      <c r="A2" s="7" t="s">
        <v>172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172" ht="16" thickTop="1" x14ac:dyDescent="0.2">
      <c r="A3" s="6" t="s">
        <v>173</v>
      </c>
      <c r="B3" s="1" t="s">
        <v>174</v>
      </c>
      <c r="C3" s="1"/>
      <c r="D3" s="9" t="s">
        <v>175</v>
      </c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 t="s">
        <v>176</v>
      </c>
      <c r="Z3" s="14"/>
      <c r="AA3" s="14"/>
      <c r="AB3" s="15"/>
    </row>
    <row r="4" spans="1:172" x14ac:dyDescent="0.2">
      <c r="A4" s="6" t="s">
        <v>177</v>
      </c>
      <c r="D4" s="16" t="s">
        <v>178</v>
      </c>
      <c r="E4" s="17" t="s">
        <v>179</v>
      </c>
      <c r="F4" s="18" t="s">
        <v>180</v>
      </c>
      <c r="G4" s="1" t="s">
        <v>181</v>
      </c>
      <c r="Y4" s="13" t="s">
        <v>182</v>
      </c>
      <c r="Z4" s="13" t="s">
        <v>183</v>
      </c>
      <c r="AA4" s="13" t="s">
        <v>184</v>
      </c>
      <c r="AB4" s="18" t="b">
        <v>1</v>
      </c>
    </row>
    <row r="5" spans="1:172" x14ac:dyDescent="0.2">
      <c r="D5" s="9"/>
      <c r="E5" s="10"/>
      <c r="F5" s="19"/>
      <c r="Y5" s="13" t="s">
        <v>185</v>
      </c>
      <c r="Z5" s="13" t="s">
        <v>186</v>
      </c>
      <c r="AA5" s="13" t="s">
        <v>187</v>
      </c>
      <c r="AB5" s="20" t="b">
        <v>0</v>
      </c>
    </row>
    <row r="6" spans="1:172" ht="21" thickBot="1" x14ac:dyDescent="0.3">
      <c r="A6" s="7" t="s">
        <v>188</v>
      </c>
      <c r="B6" s="21" t="s">
        <v>1</v>
      </c>
      <c r="C6" s="21"/>
      <c r="D6" s="8" t="s">
        <v>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3" t="s">
        <v>189</v>
      </c>
      <c r="Z6" s="22"/>
      <c r="AA6" s="22"/>
      <c r="AB6" s="8"/>
    </row>
    <row r="7" spans="1:172" ht="16" hidden="1" thickTop="1" x14ac:dyDescent="0.2">
      <c r="A7" s="6" t="s">
        <v>190</v>
      </c>
      <c r="B7" s="1" t="s">
        <v>191</v>
      </c>
      <c r="C7" s="1"/>
      <c r="D7" s="23" t="s">
        <v>192</v>
      </c>
    </row>
    <row r="8" spans="1:172" ht="16" thickTop="1" x14ac:dyDescent="0.2">
      <c r="A8" s="6" t="s">
        <v>193</v>
      </c>
      <c r="B8" s="1" t="s">
        <v>194</v>
      </c>
      <c r="C8" s="1"/>
      <c r="D8" s="24"/>
    </row>
    <row r="9" spans="1:172" x14ac:dyDescent="0.2">
      <c r="A9" s="6" t="s">
        <v>195</v>
      </c>
      <c r="B9" s="1" t="s">
        <v>196</v>
      </c>
      <c r="C9" s="1"/>
      <c r="D9" s="24" t="b">
        <v>1</v>
      </c>
      <c r="F9" s="25">
        <v>1</v>
      </c>
      <c r="G9" s="25">
        <v>2</v>
      </c>
      <c r="H9" s="25">
        <v>3</v>
      </c>
      <c r="I9" s="25">
        <v>4</v>
      </c>
      <c r="J9" s="25">
        <v>5</v>
      </c>
      <c r="K9" s="25">
        <v>6</v>
      </c>
      <c r="L9" s="25">
        <v>7</v>
      </c>
    </row>
    <row r="10" spans="1:172" x14ac:dyDescent="0.2">
      <c r="A10" s="6" t="s">
        <v>197</v>
      </c>
      <c r="B10" s="1" t="s">
        <v>198</v>
      </c>
      <c r="C10" s="1"/>
      <c r="D10" s="26" t="s">
        <v>187</v>
      </c>
      <c r="F10" s="25" t="s">
        <v>199</v>
      </c>
      <c r="G10" s="25" t="s">
        <v>200</v>
      </c>
      <c r="H10" s="25" t="s">
        <v>201</v>
      </c>
      <c r="I10" s="25" t="s">
        <v>202</v>
      </c>
      <c r="J10" s="25" t="s">
        <v>203</v>
      </c>
      <c r="K10" s="25" t="s">
        <v>204</v>
      </c>
      <c r="L10" s="25" t="s">
        <v>205</v>
      </c>
    </row>
    <row r="11" spans="1:172" x14ac:dyDescent="0.2">
      <c r="A11" s="6" t="s">
        <v>206</v>
      </c>
      <c r="B11" s="1" t="s">
        <v>207</v>
      </c>
      <c r="C11" s="1"/>
      <c r="D11" s="26" t="s">
        <v>186</v>
      </c>
      <c r="F11" s="27"/>
      <c r="G11" s="27"/>
      <c r="H11" s="27"/>
      <c r="I11" s="27"/>
      <c r="J11" s="27"/>
      <c r="K11" s="27"/>
      <c r="L11" s="27"/>
      <c r="X11" s="6" t="s">
        <v>208</v>
      </c>
    </row>
    <row r="12" spans="1:172" x14ac:dyDescent="0.2">
      <c r="A12" s="6" t="s">
        <v>209</v>
      </c>
      <c r="B12" s="1" t="s">
        <v>210</v>
      </c>
      <c r="C12" s="1"/>
      <c r="D12" s="28">
        <v>3</v>
      </c>
      <c r="E12" s="29" t="s">
        <v>211</v>
      </c>
      <c r="F12" s="27"/>
      <c r="G12" s="27"/>
      <c r="H12" s="27"/>
      <c r="I12" s="27"/>
      <c r="J12" s="27"/>
      <c r="K12" s="27"/>
      <c r="L12" s="27"/>
    </row>
    <row r="13" spans="1:172" x14ac:dyDescent="0.2">
      <c r="A13" s="6" t="s">
        <v>212</v>
      </c>
      <c r="B13" s="1" t="s">
        <v>213</v>
      </c>
      <c r="C13" s="1"/>
      <c r="D13" s="30">
        <v>0.01</v>
      </c>
      <c r="E13" s="29"/>
      <c r="F13" s="27"/>
      <c r="G13" s="27"/>
      <c r="H13" s="27"/>
      <c r="I13" s="27"/>
      <c r="J13" s="27"/>
      <c r="K13" s="27"/>
      <c r="L13" s="27"/>
    </row>
    <row r="14" spans="1:172" x14ac:dyDescent="0.2">
      <c r="A14" s="6" t="s">
        <v>214</v>
      </c>
      <c r="B14" s="1" t="s">
        <v>215</v>
      </c>
      <c r="C14" s="1"/>
      <c r="D14" s="28">
        <v>480</v>
      </c>
      <c r="E14" s="29" t="s">
        <v>216</v>
      </c>
      <c r="F14" s="27"/>
      <c r="G14" s="27"/>
      <c r="H14" s="27"/>
      <c r="I14" s="27"/>
      <c r="J14" s="27"/>
      <c r="K14" s="27"/>
      <c r="L14" s="27"/>
    </row>
    <row r="15" spans="1:172" x14ac:dyDescent="0.2">
      <c r="A15" s="6" t="s">
        <v>217</v>
      </c>
      <c r="B15" s="1" t="s">
        <v>218</v>
      </c>
      <c r="C15" s="1"/>
      <c r="D15" s="31">
        <v>45662</v>
      </c>
      <c r="E15" s="32" t="s">
        <v>199</v>
      </c>
    </row>
    <row r="16" spans="1:172" x14ac:dyDescent="0.2">
      <c r="A16" s="6" t="s">
        <v>219</v>
      </c>
      <c r="B16" s="1" t="s">
        <v>220</v>
      </c>
      <c r="C16" s="1"/>
      <c r="D16" s="33">
        <v>45669</v>
      </c>
      <c r="E16" s="34" t="s">
        <v>199</v>
      </c>
    </row>
    <row r="17" spans="1:173" ht="16" thickBot="1" x14ac:dyDescent="0.25">
      <c r="A17" s="35" t="s">
        <v>221</v>
      </c>
      <c r="B17" s="1"/>
      <c r="C17" s="1"/>
      <c r="D17" s="36"/>
      <c r="E17" s="37"/>
    </row>
    <row r="18" spans="1:173" s="42" customFormat="1" x14ac:dyDescent="0.2">
      <c r="A18" s="38" t="s">
        <v>222</v>
      </c>
      <c r="B18" s="6"/>
      <c r="C18" s="6"/>
      <c r="D18" s="6"/>
      <c r="E18" s="39">
        <f>D15</f>
        <v>45662</v>
      </c>
      <c r="F18" s="39">
        <f>E18+TIME(1,0,0)</f>
        <v>45662.041666666664</v>
      </c>
      <c r="G18" s="39">
        <f t="shared" ref="G18:BR18" si="0">F18+TIME(1,0,0)</f>
        <v>45662.083333333328</v>
      </c>
      <c r="H18" s="39">
        <f t="shared" si="0"/>
        <v>45662.124999999993</v>
      </c>
      <c r="I18" s="39">
        <f t="shared" si="0"/>
        <v>45662.166666666657</v>
      </c>
      <c r="J18" s="39">
        <f t="shared" si="0"/>
        <v>45662.208333333321</v>
      </c>
      <c r="K18" s="39">
        <f t="shared" si="0"/>
        <v>45662.249999999985</v>
      </c>
      <c r="L18" s="39">
        <f t="shared" si="0"/>
        <v>45662.29166666665</v>
      </c>
      <c r="M18" s="39">
        <f t="shared" si="0"/>
        <v>45662.333333333314</v>
      </c>
      <c r="N18" s="39">
        <f t="shared" si="0"/>
        <v>45662.374999999978</v>
      </c>
      <c r="O18" s="39">
        <f t="shared" si="0"/>
        <v>45662.416666666642</v>
      </c>
      <c r="P18" s="39">
        <f t="shared" si="0"/>
        <v>45662.458333333307</v>
      </c>
      <c r="Q18" s="39">
        <f t="shared" si="0"/>
        <v>45662.499999999971</v>
      </c>
      <c r="R18" s="39">
        <f t="shared" si="0"/>
        <v>45662.541666666635</v>
      </c>
      <c r="S18" s="39">
        <f t="shared" si="0"/>
        <v>45662.583333333299</v>
      </c>
      <c r="T18" s="39">
        <f t="shared" si="0"/>
        <v>45662.624999999964</v>
      </c>
      <c r="U18" s="39">
        <f t="shared" si="0"/>
        <v>45662.666666666628</v>
      </c>
      <c r="V18" s="39">
        <f t="shared" si="0"/>
        <v>45662.708333333292</v>
      </c>
      <c r="W18" s="39">
        <f t="shared" si="0"/>
        <v>45662.749999999956</v>
      </c>
      <c r="X18" s="39">
        <f t="shared" si="0"/>
        <v>45662.791666666621</v>
      </c>
      <c r="Y18" s="39">
        <f t="shared" si="0"/>
        <v>45662.833333333285</v>
      </c>
      <c r="Z18" s="39">
        <f t="shared" si="0"/>
        <v>45662.874999999949</v>
      </c>
      <c r="AA18" s="39">
        <f t="shared" si="0"/>
        <v>45662.916666666613</v>
      </c>
      <c r="AB18" s="39">
        <f t="shared" si="0"/>
        <v>45662.958333333278</v>
      </c>
      <c r="AC18" s="39">
        <f t="shared" si="0"/>
        <v>45662.999999999942</v>
      </c>
      <c r="AD18" s="39">
        <f t="shared" si="0"/>
        <v>45663.041666666606</v>
      </c>
      <c r="AE18" s="39">
        <f t="shared" si="0"/>
        <v>45663.08333333327</v>
      </c>
      <c r="AF18" s="39">
        <f t="shared" si="0"/>
        <v>45663.124999999935</v>
      </c>
      <c r="AG18" s="39">
        <f t="shared" si="0"/>
        <v>45663.166666666599</v>
      </c>
      <c r="AH18" s="39">
        <f t="shared" si="0"/>
        <v>45663.208333333263</v>
      </c>
      <c r="AI18" s="39">
        <f t="shared" si="0"/>
        <v>45663.249999999927</v>
      </c>
      <c r="AJ18" s="39">
        <f t="shared" si="0"/>
        <v>45663.291666666591</v>
      </c>
      <c r="AK18" s="39">
        <f t="shared" si="0"/>
        <v>45663.333333333256</v>
      </c>
      <c r="AL18" s="39">
        <f t="shared" si="0"/>
        <v>45663.37499999992</v>
      </c>
      <c r="AM18" s="39">
        <f t="shared" si="0"/>
        <v>45663.416666666584</v>
      </c>
      <c r="AN18" s="39">
        <f t="shared" si="0"/>
        <v>45663.458333333248</v>
      </c>
      <c r="AO18" s="39">
        <f t="shared" si="0"/>
        <v>45663.499999999913</v>
      </c>
      <c r="AP18" s="39">
        <f t="shared" si="0"/>
        <v>45663.541666666577</v>
      </c>
      <c r="AQ18" s="39">
        <f t="shared" si="0"/>
        <v>45663.583333333241</v>
      </c>
      <c r="AR18" s="39">
        <f t="shared" si="0"/>
        <v>45663.624999999905</v>
      </c>
      <c r="AS18" s="39">
        <f t="shared" si="0"/>
        <v>45663.66666666657</v>
      </c>
      <c r="AT18" s="39">
        <f t="shared" si="0"/>
        <v>45663.708333333234</v>
      </c>
      <c r="AU18" s="39">
        <f t="shared" si="0"/>
        <v>45663.749999999898</v>
      </c>
      <c r="AV18" s="39">
        <f t="shared" si="0"/>
        <v>45663.791666666562</v>
      </c>
      <c r="AW18" s="39">
        <f t="shared" si="0"/>
        <v>45663.833333333227</v>
      </c>
      <c r="AX18" s="39">
        <f t="shared" si="0"/>
        <v>45663.874999999891</v>
      </c>
      <c r="AY18" s="39">
        <f t="shared" si="0"/>
        <v>45663.916666666555</v>
      </c>
      <c r="AZ18" s="39">
        <f t="shared" si="0"/>
        <v>45663.958333333219</v>
      </c>
      <c r="BA18" s="39">
        <f t="shared" si="0"/>
        <v>45663.999999999884</v>
      </c>
      <c r="BB18" s="39">
        <f t="shared" si="0"/>
        <v>45664.041666666548</v>
      </c>
      <c r="BC18" s="39">
        <f t="shared" si="0"/>
        <v>45664.083333333212</v>
      </c>
      <c r="BD18" s="39">
        <f t="shared" si="0"/>
        <v>45664.124999999876</v>
      </c>
      <c r="BE18" s="39">
        <f t="shared" si="0"/>
        <v>45664.166666666541</v>
      </c>
      <c r="BF18" s="39">
        <f t="shared" si="0"/>
        <v>45664.208333333205</v>
      </c>
      <c r="BG18" s="39">
        <f t="shared" si="0"/>
        <v>45664.249999999869</v>
      </c>
      <c r="BH18" s="39">
        <f t="shared" si="0"/>
        <v>45664.291666666533</v>
      </c>
      <c r="BI18" s="39">
        <f t="shared" si="0"/>
        <v>45664.333333333198</v>
      </c>
      <c r="BJ18" s="39">
        <f t="shared" si="0"/>
        <v>45664.374999999862</v>
      </c>
      <c r="BK18" s="39">
        <f t="shared" si="0"/>
        <v>45664.416666666526</v>
      </c>
      <c r="BL18" s="39">
        <f t="shared" si="0"/>
        <v>45664.45833333319</v>
      </c>
      <c r="BM18" s="39">
        <f t="shared" si="0"/>
        <v>45664.499999999854</v>
      </c>
      <c r="BN18" s="39">
        <f t="shared" si="0"/>
        <v>45664.541666666519</v>
      </c>
      <c r="BO18" s="39">
        <f t="shared" si="0"/>
        <v>45664.583333333183</v>
      </c>
      <c r="BP18" s="39">
        <f t="shared" si="0"/>
        <v>45664.624999999847</v>
      </c>
      <c r="BQ18" s="39">
        <f t="shared" si="0"/>
        <v>45664.666666666511</v>
      </c>
      <c r="BR18" s="39">
        <f t="shared" si="0"/>
        <v>45664.708333333176</v>
      </c>
      <c r="BS18" s="39">
        <f t="shared" ref="BS18:ED18" si="1">BR18+TIME(1,0,0)</f>
        <v>45664.74999999984</v>
      </c>
      <c r="BT18" s="39">
        <f t="shared" si="1"/>
        <v>45664.791666666504</v>
      </c>
      <c r="BU18" s="39">
        <f t="shared" si="1"/>
        <v>45664.833333333168</v>
      </c>
      <c r="BV18" s="39">
        <f t="shared" si="1"/>
        <v>45664.874999999833</v>
      </c>
      <c r="BW18" s="39">
        <f t="shared" si="1"/>
        <v>45664.916666666497</v>
      </c>
      <c r="BX18" s="39">
        <f t="shared" si="1"/>
        <v>45664.958333333161</v>
      </c>
      <c r="BY18" s="39">
        <f t="shared" si="1"/>
        <v>45664.999999999825</v>
      </c>
      <c r="BZ18" s="39">
        <f t="shared" si="1"/>
        <v>45665.04166666649</v>
      </c>
      <c r="CA18" s="39">
        <f t="shared" si="1"/>
        <v>45665.083333333154</v>
      </c>
      <c r="CB18" s="39">
        <f t="shared" si="1"/>
        <v>45665.124999999818</v>
      </c>
      <c r="CC18" s="39">
        <f t="shared" si="1"/>
        <v>45665.166666666482</v>
      </c>
      <c r="CD18" s="39">
        <f t="shared" si="1"/>
        <v>45665.208333333147</v>
      </c>
      <c r="CE18" s="39">
        <f t="shared" si="1"/>
        <v>45665.249999999811</v>
      </c>
      <c r="CF18" s="39">
        <f t="shared" si="1"/>
        <v>45665.291666666475</v>
      </c>
      <c r="CG18" s="39">
        <f t="shared" si="1"/>
        <v>45665.333333333139</v>
      </c>
      <c r="CH18" s="39">
        <f t="shared" si="1"/>
        <v>45665.374999999804</v>
      </c>
      <c r="CI18" s="39">
        <f t="shared" si="1"/>
        <v>45665.416666666468</v>
      </c>
      <c r="CJ18" s="39">
        <f t="shared" si="1"/>
        <v>45665.458333333132</v>
      </c>
      <c r="CK18" s="39">
        <f t="shared" si="1"/>
        <v>45665.499999999796</v>
      </c>
      <c r="CL18" s="39">
        <f t="shared" si="1"/>
        <v>45665.541666666461</v>
      </c>
      <c r="CM18" s="39">
        <f t="shared" si="1"/>
        <v>45665.583333333125</v>
      </c>
      <c r="CN18" s="39">
        <f t="shared" si="1"/>
        <v>45665.624999999789</v>
      </c>
      <c r="CO18" s="39">
        <f t="shared" si="1"/>
        <v>45665.666666666453</v>
      </c>
      <c r="CP18" s="39">
        <f t="shared" si="1"/>
        <v>45665.708333333117</v>
      </c>
      <c r="CQ18" s="39">
        <f t="shared" si="1"/>
        <v>45665.749999999782</v>
      </c>
      <c r="CR18" s="39">
        <f t="shared" si="1"/>
        <v>45665.791666666446</v>
      </c>
      <c r="CS18" s="39">
        <f t="shared" si="1"/>
        <v>45665.83333333311</v>
      </c>
      <c r="CT18" s="39">
        <f t="shared" si="1"/>
        <v>45665.874999999774</v>
      </c>
      <c r="CU18" s="39">
        <f t="shared" si="1"/>
        <v>45665.916666666439</v>
      </c>
      <c r="CV18" s="39">
        <f t="shared" si="1"/>
        <v>45665.958333333103</v>
      </c>
      <c r="CW18" s="39">
        <f t="shared" si="1"/>
        <v>45665.999999999767</v>
      </c>
      <c r="CX18" s="39">
        <f t="shared" si="1"/>
        <v>45666.041666666431</v>
      </c>
      <c r="CY18" s="39">
        <f t="shared" si="1"/>
        <v>45666.083333333096</v>
      </c>
      <c r="CZ18" s="39">
        <f t="shared" si="1"/>
        <v>45666.12499999976</v>
      </c>
      <c r="DA18" s="39">
        <f t="shared" si="1"/>
        <v>45666.166666666424</v>
      </c>
      <c r="DB18" s="39">
        <f t="shared" si="1"/>
        <v>45666.208333333088</v>
      </c>
      <c r="DC18" s="39">
        <f t="shared" si="1"/>
        <v>45666.249999999753</v>
      </c>
      <c r="DD18" s="39">
        <f t="shared" si="1"/>
        <v>45666.291666666417</v>
      </c>
      <c r="DE18" s="39">
        <f t="shared" si="1"/>
        <v>45666.333333333081</v>
      </c>
      <c r="DF18" s="39">
        <f t="shared" si="1"/>
        <v>45666.374999999745</v>
      </c>
      <c r="DG18" s="39">
        <f t="shared" si="1"/>
        <v>45666.41666666641</v>
      </c>
      <c r="DH18" s="39">
        <f t="shared" si="1"/>
        <v>45666.458333333074</v>
      </c>
      <c r="DI18" s="39">
        <f t="shared" si="1"/>
        <v>45666.499999999738</v>
      </c>
      <c r="DJ18" s="39">
        <f t="shared" si="1"/>
        <v>45666.541666666402</v>
      </c>
      <c r="DK18" s="39">
        <f t="shared" si="1"/>
        <v>45666.583333333067</v>
      </c>
      <c r="DL18" s="39">
        <f t="shared" si="1"/>
        <v>45666.624999999731</v>
      </c>
      <c r="DM18" s="39">
        <f t="shared" si="1"/>
        <v>45666.666666666395</v>
      </c>
      <c r="DN18" s="39">
        <f t="shared" si="1"/>
        <v>45666.708333333059</v>
      </c>
      <c r="DO18" s="39">
        <f t="shared" si="1"/>
        <v>45666.749999999724</v>
      </c>
      <c r="DP18" s="39">
        <f t="shared" si="1"/>
        <v>45666.791666666388</v>
      </c>
      <c r="DQ18" s="39">
        <f t="shared" si="1"/>
        <v>45666.833333333052</v>
      </c>
      <c r="DR18" s="39">
        <f t="shared" si="1"/>
        <v>45666.874999999716</v>
      </c>
      <c r="DS18" s="39">
        <f t="shared" si="1"/>
        <v>45666.91666666638</v>
      </c>
      <c r="DT18" s="39">
        <f t="shared" si="1"/>
        <v>45666.958333333045</v>
      </c>
      <c r="DU18" s="39">
        <f t="shared" si="1"/>
        <v>45666.999999999709</v>
      </c>
      <c r="DV18" s="39">
        <f t="shared" si="1"/>
        <v>45667.041666666373</v>
      </c>
      <c r="DW18" s="39">
        <f t="shared" si="1"/>
        <v>45667.083333333037</v>
      </c>
      <c r="DX18" s="39">
        <f t="shared" si="1"/>
        <v>45667.124999999702</v>
      </c>
      <c r="DY18" s="39">
        <f t="shared" si="1"/>
        <v>45667.166666666366</v>
      </c>
      <c r="DZ18" s="39">
        <f t="shared" si="1"/>
        <v>45667.20833333303</v>
      </c>
      <c r="EA18" s="39">
        <f t="shared" si="1"/>
        <v>45667.249999999694</v>
      </c>
      <c r="EB18" s="39">
        <f t="shared" si="1"/>
        <v>45667.291666666359</v>
      </c>
      <c r="EC18" s="39">
        <f t="shared" si="1"/>
        <v>45667.333333333023</v>
      </c>
      <c r="ED18" s="39">
        <f t="shared" si="1"/>
        <v>45667.374999999687</v>
      </c>
      <c r="EE18" s="39">
        <f t="shared" ref="EE18:FP18" si="2">ED18+TIME(1,0,0)</f>
        <v>45667.416666666351</v>
      </c>
      <c r="EF18" s="39">
        <f t="shared" si="2"/>
        <v>45667.458333333016</v>
      </c>
      <c r="EG18" s="39">
        <f t="shared" si="2"/>
        <v>45667.49999999968</v>
      </c>
      <c r="EH18" s="39">
        <f t="shared" si="2"/>
        <v>45667.541666666344</v>
      </c>
      <c r="EI18" s="39">
        <f t="shared" si="2"/>
        <v>45667.583333333008</v>
      </c>
      <c r="EJ18" s="39">
        <f t="shared" si="2"/>
        <v>45667.624999999673</v>
      </c>
      <c r="EK18" s="39">
        <f t="shared" si="2"/>
        <v>45667.666666666337</v>
      </c>
      <c r="EL18" s="39">
        <f t="shared" si="2"/>
        <v>45667.708333333001</v>
      </c>
      <c r="EM18" s="39">
        <f t="shared" si="2"/>
        <v>45667.749999999665</v>
      </c>
      <c r="EN18" s="39">
        <f t="shared" si="2"/>
        <v>45667.79166666633</v>
      </c>
      <c r="EO18" s="39">
        <f t="shared" si="2"/>
        <v>45667.833333332994</v>
      </c>
      <c r="EP18" s="39">
        <f t="shared" si="2"/>
        <v>45667.874999999658</v>
      </c>
      <c r="EQ18" s="39">
        <f t="shared" si="2"/>
        <v>45667.916666666322</v>
      </c>
      <c r="ER18" s="39">
        <f t="shared" si="2"/>
        <v>45667.958333332987</v>
      </c>
      <c r="ES18" s="39">
        <f t="shared" si="2"/>
        <v>45667.999999999651</v>
      </c>
      <c r="ET18" s="39">
        <f t="shared" si="2"/>
        <v>45668.041666666315</v>
      </c>
      <c r="EU18" s="39">
        <f t="shared" si="2"/>
        <v>45668.083333332979</v>
      </c>
      <c r="EV18" s="39">
        <f t="shared" si="2"/>
        <v>45668.124999999643</v>
      </c>
      <c r="EW18" s="39">
        <f t="shared" si="2"/>
        <v>45668.166666666308</v>
      </c>
      <c r="EX18" s="39">
        <f t="shared" si="2"/>
        <v>45668.208333332972</v>
      </c>
      <c r="EY18" s="39">
        <f t="shared" si="2"/>
        <v>45668.249999999636</v>
      </c>
      <c r="EZ18" s="39">
        <f t="shared" si="2"/>
        <v>45668.2916666663</v>
      </c>
      <c r="FA18" s="39">
        <f t="shared" si="2"/>
        <v>45668.333333332965</v>
      </c>
      <c r="FB18" s="39">
        <f t="shared" si="2"/>
        <v>45668.374999999629</v>
      </c>
      <c r="FC18" s="39">
        <f t="shared" si="2"/>
        <v>45668.416666666293</v>
      </c>
      <c r="FD18" s="39">
        <f t="shared" si="2"/>
        <v>45668.458333332957</v>
      </c>
      <c r="FE18" s="39">
        <f t="shared" si="2"/>
        <v>45668.499999999622</v>
      </c>
      <c r="FF18" s="39">
        <f t="shared" si="2"/>
        <v>45668.541666666286</v>
      </c>
      <c r="FG18" s="39">
        <f t="shared" si="2"/>
        <v>45668.58333333295</v>
      </c>
      <c r="FH18" s="39">
        <f t="shared" si="2"/>
        <v>45668.624999999614</v>
      </c>
      <c r="FI18" s="39">
        <f t="shared" si="2"/>
        <v>45668.666666666279</v>
      </c>
      <c r="FJ18" s="39">
        <f t="shared" si="2"/>
        <v>45668.708333332943</v>
      </c>
      <c r="FK18" s="39">
        <f t="shared" si="2"/>
        <v>45668.749999999607</v>
      </c>
      <c r="FL18" s="39">
        <f t="shared" si="2"/>
        <v>45668.791666666271</v>
      </c>
      <c r="FM18" s="39">
        <f t="shared" si="2"/>
        <v>45668.833333332936</v>
      </c>
      <c r="FN18" s="39">
        <f t="shared" si="2"/>
        <v>45668.8749999996</v>
      </c>
      <c r="FO18" s="39">
        <f t="shared" si="2"/>
        <v>45668.916666666264</v>
      </c>
      <c r="FP18" s="39">
        <f t="shared" si="2"/>
        <v>45668.958333332928</v>
      </c>
      <c r="FQ18" s="41"/>
    </row>
    <row r="19" spans="1:173" s="42" customFormat="1" x14ac:dyDescent="0.2">
      <c r="A19" s="38" t="s">
        <v>223</v>
      </c>
      <c r="B19" s="6"/>
      <c r="C19" s="6"/>
      <c r="D19" s="6"/>
      <c r="E19" s="43">
        <f>DAY(E18)</f>
        <v>5</v>
      </c>
      <c r="F19" s="43">
        <f t="shared" ref="F19:BQ19" si="3">DAY(F18)</f>
        <v>5</v>
      </c>
      <c r="G19" s="43">
        <f t="shared" si="3"/>
        <v>5</v>
      </c>
      <c r="H19" s="43">
        <f t="shared" si="3"/>
        <v>5</v>
      </c>
      <c r="I19" s="43">
        <f t="shared" si="3"/>
        <v>5</v>
      </c>
      <c r="J19" s="43">
        <f t="shared" si="3"/>
        <v>5</v>
      </c>
      <c r="K19" s="43">
        <f t="shared" si="3"/>
        <v>5</v>
      </c>
      <c r="L19" s="43">
        <f t="shared" si="3"/>
        <v>5</v>
      </c>
      <c r="M19" s="43">
        <f t="shared" si="3"/>
        <v>5</v>
      </c>
      <c r="N19" s="43">
        <f t="shared" si="3"/>
        <v>5</v>
      </c>
      <c r="O19" s="43">
        <f t="shared" si="3"/>
        <v>5</v>
      </c>
      <c r="P19" s="43">
        <f t="shared" si="3"/>
        <v>5</v>
      </c>
      <c r="Q19" s="43">
        <f t="shared" si="3"/>
        <v>5</v>
      </c>
      <c r="R19" s="43">
        <f t="shared" si="3"/>
        <v>5</v>
      </c>
      <c r="S19" s="43">
        <f t="shared" si="3"/>
        <v>5</v>
      </c>
      <c r="T19" s="43">
        <f t="shared" si="3"/>
        <v>5</v>
      </c>
      <c r="U19" s="43">
        <f t="shared" si="3"/>
        <v>5</v>
      </c>
      <c r="V19" s="43">
        <f t="shared" si="3"/>
        <v>5</v>
      </c>
      <c r="W19" s="43">
        <f t="shared" si="3"/>
        <v>5</v>
      </c>
      <c r="X19" s="43">
        <f t="shared" si="3"/>
        <v>5</v>
      </c>
      <c r="Y19" s="43">
        <f t="shared" si="3"/>
        <v>5</v>
      </c>
      <c r="Z19" s="43">
        <f t="shared" si="3"/>
        <v>5</v>
      </c>
      <c r="AA19" s="43">
        <f t="shared" si="3"/>
        <v>5</v>
      </c>
      <c r="AB19" s="43">
        <f t="shared" si="3"/>
        <v>5</v>
      </c>
      <c r="AC19" s="43">
        <f t="shared" si="3"/>
        <v>6</v>
      </c>
      <c r="AD19" s="43">
        <f t="shared" si="3"/>
        <v>6</v>
      </c>
      <c r="AE19" s="43">
        <f t="shared" si="3"/>
        <v>6</v>
      </c>
      <c r="AF19" s="43">
        <f t="shared" si="3"/>
        <v>6</v>
      </c>
      <c r="AG19" s="43">
        <f t="shared" si="3"/>
        <v>6</v>
      </c>
      <c r="AH19" s="43">
        <f t="shared" si="3"/>
        <v>6</v>
      </c>
      <c r="AI19" s="43">
        <f t="shared" si="3"/>
        <v>6</v>
      </c>
      <c r="AJ19" s="43">
        <f t="shared" si="3"/>
        <v>6</v>
      </c>
      <c r="AK19" s="43">
        <f t="shared" si="3"/>
        <v>6</v>
      </c>
      <c r="AL19" s="43">
        <f t="shared" si="3"/>
        <v>6</v>
      </c>
      <c r="AM19" s="43">
        <f t="shared" si="3"/>
        <v>6</v>
      </c>
      <c r="AN19" s="43">
        <f t="shared" si="3"/>
        <v>6</v>
      </c>
      <c r="AO19" s="43">
        <f t="shared" si="3"/>
        <v>6</v>
      </c>
      <c r="AP19" s="43">
        <f t="shared" si="3"/>
        <v>6</v>
      </c>
      <c r="AQ19" s="43">
        <f t="shared" si="3"/>
        <v>6</v>
      </c>
      <c r="AR19" s="43">
        <f t="shared" si="3"/>
        <v>6</v>
      </c>
      <c r="AS19" s="43">
        <f t="shared" si="3"/>
        <v>6</v>
      </c>
      <c r="AT19" s="43">
        <f t="shared" si="3"/>
        <v>6</v>
      </c>
      <c r="AU19" s="43">
        <f t="shared" si="3"/>
        <v>6</v>
      </c>
      <c r="AV19" s="43">
        <f t="shared" si="3"/>
        <v>6</v>
      </c>
      <c r="AW19" s="43">
        <f t="shared" si="3"/>
        <v>6</v>
      </c>
      <c r="AX19" s="43">
        <f t="shared" si="3"/>
        <v>6</v>
      </c>
      <c r="AY19" s="43">
        <f t="shared" si="3"/>
        <v>6</v>
      </c>
      <c r="AZ19" s="43">
        <f t="shared" si="3"/>
        <v>6</v>
      </c>
      <c r="BA19" s="43">
        <f t="shared" si="3"/>
        <v>7</v>
      </c>
      <c r="BB19" s="43">
        <f t="shared" si="3"/>
        <v>7</v>
      </c>
      <c r="BC19" s="43">
        <f t="shared" si="3"/>
        <v>7</v>
      </c>
      <c r="BD19" s="43">
        <f t="shared" si="3"/>
        <v>7</v>
      </c>
      <c r="BE19" s="43">
        <f t="shared" si="3"/>
        <v>7</v>
      </c>
      <c r="BF19" s="43">
        <f t="shared" si="3"/>
        <v>7</v>
      </c>
      <c r="BG19" s="43">
        <f t="shared" si="3"/>
        <v>7</v>
      </c>
      <c r="BH19" s="43">
        <f t="shared" si="3"/>
        <v>7</v>
      </c>
      <c r="BI19" s="43">
        <f t="shared" si="3"/>
        <v>7</v>
      </c>
      <c r="BJ19" s="43">
        <f t="shared" si="3"/>
        <v>7</v>
      </c>
      <c r="BK19" s="43">
        <f t="shared" si="3"/>
        <v>7</v>
      </c>
      <c r="BL19" s="43">
        <f t="shared" si="3"/>
        <v>7</v>
      </c>
      <c r="BM19" s="43">
        <f t="shared" si="3"/>
        <v>7</v>
      </c>
      <c r="BN19" s="43">
        <f t="shared" si="3"/>
        <v>7</v>
      </c>
      <c r="BO19" s="43">
        <f t="shared" si="3"/>
        <v>7</v>
      </c>
      <c r="BP19" s="43">
        <f t="shared" si="3"/>
        <v>7</v>
      </c>
      <c r="BQ19" s="43">
        <f t="shared" si="3"/>
        <v>7</v>
      </c>
      <c r="BR19" s="43">
        <f t="shared" ref="BR19:EC19" si="4">DAY(BR18)</f>
        <v>7</v>
      </c>
      <c r="BS19" s="43">
        <f t="shared" si="4"/>
        <v>7</v>
      </c>
      <c r="BT19" s="43">
        <f t="shared" si="4"/>
        <v>7</v>
      </c>
      <c r="BU19" s="43">
        <f t="shared" si="4"/>
        <v>7</v>
      </c>
      <c r="BV19" s="43">
        <f t="shared" si="4"/>
        <v>7</v>
      </c>
      <c r="BW19" s="43">
        <f t="shared" si="4"/>
        <v>7</v>
      </c>
      <c r="BX19" s="43">
        <f t="shared" si="4"/>
        <v>7</v>
      </c>
      <c r="BY19" s="43">
        <f t="shared" si="4"/>
        <v>8</v>
      </c>
      <c r="BZ19" s="43">
        <f t="shared" si="4"/>
        <v>8</v>
      </c>
      <c r="CA19" s="43">
        <f t="shared" si="4"/>
        <v>8</v>
      </c>
      <c r="CB19" s="43">
        <f t="shared" si="4"/>
        <v>8</v>
      </c>
      <c r="CC19" s="43">
        <f t="shared" si="4"/>
        <v>8</v>
      </c>
      <c r="CD19" s="43">
        <f t="shared" si="4"/>
        <v>8</v>
      </c>
      <c r="CE19" s="43">
        <f t="shared" si="4"/>
        <v>8</v>
      </c>
      <c r="CF19" s="43">
        <f t="shared" si="4"/>
        <v>8</v>
      </c>
      <c r="CG19" s="43">
        <f t="shared" si="4"/>
        <v>8</v>
      </c>
      <c r="CH19" s="43">
        <f t="shared" si="4"/>
        <v>8</v>
      </c>
      <c r="CI19" s="43">
        <f t="shared" si="4"/>
        <v>8</v>
      </c>
      <c r="CJ19" s="43">
        <f t="shared" si="4"/>
        <v>8</v>
      </c>
      <c r="CK19" s="43">
        <f t="shared" si="4"/>
        <v>8</v>
      </c>
      <c r="CL19" s="43">
        <f t="shared" si="4"/>
        <v>8</v>
      </c>
      <c r="CM19" s="43">
        <f t="shared" si="4"/>
        <v>8</v>
      </c>
      <c r="CN19" s="43">
        <f t="shared" si="4"/>
        <v>8</v>
      </c>
      <c r="CO19" s="43">
        <f t="shared" si="4"/>
        <v>8</v>
      </c>
      <c r="CP19" s="43">
        <f t="shared" si="4"/>
        <v>8</v>
      </c>
      <c r="CQ19" s="43">
        <f t="shared" si="4"/>
        <v>8</v>
      </c>
      <c r="CR19" s="43">
        <f t="shared" si="4"/>
        <v>8</v>
      </c>
      <c r="CS19" s="43">
        <f t="shared" si="4"/>
        <v>8</v>
      </c>
      <c r="CT19" s="43">
        <f t="shared" si="4"/>
        <v>8</v>
      </c>
      <c r="CU19" s="43">
        <f t="shared" si="4"/>
        <v>8</v>
      </c>
      <c r="CV19" s="43">
        <f t="shared" si="4"/>
        <v>8</v>
      </c>
      <c r="CW19" s="43">
        <f t="shared" si="4"/>
        <v>9</v>
      </c>
      <c r="CX19" s="43">
        <f t="shared" si="4"/>
        <v>9</v>
      </c>
      <c r="CY19" s="43">
        <f t="shared" si="4"/>
        <v>9</v>
      </c>
      <c r="CZ19" s="43">
        <f t="shared" si="4"/>
        <v>9</v>
      </c>
      <c r="DA19" s="43">
        <f t="shared" si="4"/>
        <v>9</v>
      </c>
      <c r="DB19" s="43">
        <f t="shared" si="4"/>
        <v>9</v>
      </c>
      <c r="DC19" s="43">
        <f t="shared" si="4"/>
        <v>9</v>
      </c>
      <c r="DD19" s="43">
        <f t="shared" si="4"/>
        <v>9</v>
      </c>
      <c r="DE19" s="43">
        <f t="shared" si="4"/>
        <v>9</v>
      </c>
      <c r="DF19" s="43">
        <f t="shared" si="4"/>
        <v>9</v>
      </c>
      <c r="DG19" s="43">
        <f t="shared" si="4"/>
        <v>9</v>
      </c>
      <c r="DH19" s="43">
        <f t="shared" si="4"/>
        <v>9</v>
      </c>
      <c r="DI19" s="43">
        <f t="shared" si="4"/>
        <v>9</v>
      </c>
      <c r="DJ19" s="43">
        <f t="shared" si="4"/>
        <v>9</v>
      </c>
      <c r="DK19" s="43">
        <f t="shared" si="4"/>
        <v>9</v>
      </c>
      <c r="DL19" s="43">
        <f t="shared" si="4"/>
        <v>9</v>
      </c>
      <c r="DM19" s="43">
        <f t="shared" si="4"/>
        <v>9</v>
      </c>
      <c r="DN19" s="43">
        <f t="shared" si="4"/>
        <v>9</v>
      </c>
      <c r="DO19" s="43">
        <f t="shared" si="4"/>
        <v>9</v>
      </c>
      <c r="DP19" s="43">
        <f t="shared" si="4"/>
        <v>9</v>
      </c>
      <c r="DQ19" s="43">
        <f t="shared" si="4"/>
        <v>9</v>
      </c>
      <c r="DR19" s="43">
        <f t="shared" si="4"/>
        <v>9</v>
      </c>
      <c r="DS19" s="43">
        <f t="shared" si="4"/>
        <v>9</v>
      </c>
      <c r="DT19" s="43">
        <f t="shared" si="4"/>
        <v>9</v>
      </c>
      <c r="DU19" s="43">
        <f t="shared" si="4"/>
        <v>10</v>
      </c>
      <c r="DV19" s="43">
        <f t="shared" si="4"/>
        <v>10</v>
      </c>
      <c r="DW19" s="43">
        <f t="shared" si="4"/>
        <v>10</v>
      </c>
      <c r="DX19" s="43">
        <f t="shared" si="4"/>
        <v>10</v>
      </c>
      <c r="DY19" s="43">
        <f t="shared" si="4"/>
        <v>10</v>
      </c>
      <c r="DZ19" s="43">
        <f t="shared" si="4"/>
        <v>10</v>
      </c>
      <c r="EA19" s="43">
        <f t="shared" si="4"/>
        <v>10</v>
      </c>
      <c r="EB19" s="43">
        <f t="shared" si="4"/>
        <v>10</v>
      </c>
      <c r="EC19" s="43">
        <f t="shared" si="4"/>
        <v>10</v>
      </c>
      <c r="ED19" s="43">
        <f t="shared" ref="ED19:FP19" si="5">DAY(ED18)</f>
        <v>10</v>
      </c>
      <c r="EE19" s="43">
        <f t="shared" si="5"/>
        <v>10</v>
      </c>
      <c r="EF19" s="43">
        <f t="shared" si="5"/>
        <v>10</v>
      </c>
      <c r="EG19" s="43">
        <f t="shared" si="5"/>
        <v>10</v>
      </c>
      <c r="EH19" s="43">
        <f t="shared" si="5"/>
        <v>10</v>
      </c>
      <c r="EI19" s="43">
        <f t="shared" si="5"/>
        <v>10</v>
      </c>
      <c r="EJ19" s="43">
        <f t="shared" si="5"/>
        <v>10</v>
      </c>
      <c r="EK19" s="43">
        <f t="shared" si="5"/>
        <v>10</v>
      </c>
      <c r="EL19" s="43">
        <f t="shared" si="5"/>
        <v>10</v>
      </c>
      <c r="EM19" s="43">
        <f t="shared" si="5"/>
        <v>10</v>
      </c>
      <c r="EN19" s="43">
        <f t="shared" si="5"/>
        <v>10</v>
      </c>
      <c r="EO19" s="43">
        <f t="shared" si="5"/>
        <v>10</v>
      </c>
      <c r="EP19" s="43">
        <f t="shared" si="5"/>
        <v>10</v>
      </c>
      <c r="EQ19" s="43">
        <f t="shared" si="5"/>
        <v>10</v>
      </c>
      <c r="ER19" s="43">
        <f t="shared" si="5"/>
        <v>10</v>
      </c>
      <c r="ES19" s="43">
        <f t="shared" si="5"/>
        <v>11</v>
      </c>
      <c r="ET19" s="43">
        <f t="shared" si="5"/>
        <v>11</v>
      </c>
      <c r="EU19" s="43">
        <f t="shared" si="5"/>
        <v>11</v>
      </c>
      <c r="EV19" s="43">
        <f t="shared" si="5"/>
        <v>11</v>
      </c>
      <c r="EW19" s="43">
        <f t="shared" si="5"/>
        <v>11</v>
      </c>
      <c r="EX19" s="43">
        <f t="shared" si="5"/>
        <v>11</v>
      </c>
      <c r="EY19" s="43">
        <f t="shared" si="5"/>
        <v>11</v>
      </c>
      <c r="EZ19" s="43">
        <f t="shared" si="5"/>
        <v>11</v>
      </c>
      <c r="FA19" s="43">
        <f t="shared" si="5"/>
        <v>11</v>
      </c>
      <c r="FB19" s="43">
        <f t="shared" si="5"/>
        <v>11</v>
      </c>
      <c r="FC19" s="43">
        <f t="shared" si="5"/>
        <v>11</v>
      </c>
      <c r="FD19" s="43">
        <f t="shared" si="5"/>
        <v>11</v>
      </c>
      <c r="FE19" s="43">
        <f t="shared" si="5"/>
        <v>11</v>
      </c>
      <c r="FF19" s="43">
        <f t="shared" si="5"/>
        <v>11</v>
      </c>
      <c r="FG19" s="43">
        <f t="shared" si="5"/>
        <v>11</v>
      </c>
      <c r="FH19" s="43">
        <f t="shared" si="5"/>
        <v>11</v>
      </c>
      <c r="FI19" s="43">
        <f t="shared" si="5"/>
        <v>11</v>
      </c>
      <c r="FJ19" s="43">
        <f t="shared" si="5"/>
        <v>11</v>
      </c>
      <c r="FK19" s="43">
        <f t="shared" si="5"/>
        <v>11</v>
      </c>
      <c r="FL19" s="43">
        <f t="shared" si="5"/>
        <v>11</v>
      </c>
      <c r="FM19" s="43">
        <f t="shared" si="5"/>
        <v>11</v>
      </c>
      <c r="FN19" s="43">
        <f t="shared" si="5"/>
        <v>11</v>
      </c>
      <c r="FO19" s="43">
        <f t="shared" si="5"/>
        <v>11</v>
      </c>
      <c r="FP19" s="43">
        <f t="shared" si="5"/>
        <v>11</v>
      </c>
      <c r="FQ19" s="41"/>
    </row>
    <row r="20" spans="1:173" s="42" customFormat="1" x14ac:dyDescent="0.2">
      <c r="A20" s="38" t="s">
        <v>224</v>
      </c>
      <c r="B20" s="6"/>
      <c r="C20" s="6"/>
      <c r="D20" s="6"/>
      <c r="E20" s="44">
        <f>D15</f>
        <v>45662</v>
      </c>
      <c r="F20" s="44">
        <f>E20+DAY(1)</f>
        <v>45663</v>
      </c>
      <c r="G20" s="44">
        <f t="shared" ref="G20:L20" si="6">F20+DAY(1)</f>
        <v>45664</v>
      </c>
      <c r="H20" s="44">
        <f t="shared" si="6"/>
        <v>45665</v>
      </c>
      <c r="I20" s="44">
        <f t="shared" si="6"/>
        <v>45666</v>
      </c>
      <c r="J20" s="44">
        <f t="shared" si="6"/>
        <v>45667</v>
      </c>
      <c r="K20" s="44">
        <f t="shared" si="6"/>
        <v>45668</v>
      </c>
      <c r="L20" s="44">
        <f t="shared" si="6"/>
        <v>45669</v>
      </c>
      <c r="M20" s="44" t="s">
        <v>410</v>
      </c>
      <c r="N20" s="44"/>
      <c r="O20" s="44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40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40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40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40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40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40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41"/>
    </row>
    <row r="21" spans="1:173" s="42" customFormat="1" x14ac:dyDescent="0.2">
      <c r="A21" s="38" t="s">
        <v>223</v>
      </c>
      <c r="B21" s="6"/>
      <c r="C21" s="6"/>
      <c r="D21" s="6"/>
      <c r="E21" s="43">
        <f>DAY(E20)</f>
        <v>5</v>
      </c>
      <c r="F21" s="43">
        <f t="shared" ref="F21:K21" si="7">DAY(F20)</f>
        <v>6</v>
      </c>
      <c r="G21" s="43">
        <f t="shared" si="7"/>
        <v>7</v>
      </c>
      <c r="H21" s="43">
        <f t="shared" si="7"/>
        <v>8</v>
      </c>
      <c r="I21" s="43">
        <f t="shared" si="7"/>
        <v>9</v>
      </c>
      <c r="J21" s="43">
        <f t="shared" si="7"/>
        <v>10</v>
      </c>
      <c r="K21" s="43">
        <f t="shared" si="7"/>
        <v>11</v>
      </c>
      <c r="L21" s="44"/>
      <c r="M21" s="44"/>
      <c r="N21" s="44"/>
      <c r="O21" s="44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40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40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40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40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40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40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41"/>
    </row>
    <row r="23" spans="1:173" ht="21" thickBot="1" x14ac:dyDescent="0.3">
      <c r="A23" s="7" t="s">
        <v>225</v>
      </c>
      <c r="B23" s="21" t="s">
        <v>1</v>
      </c>
      <c r="C23" s="8" t="s">
        <v>2</v>
      </c>
      <c r="D23" s="8"/>
      <c r="E23" s="8" t="s">
        <v>226</v>
      </c>
      <c r="F23" s="8" t="s">
        <v>227</v>
      </c>
      <c r="G23" s="8" t="s">
        <v>228</v>
      </c>
      <c r="H23" s="8" t="s">
        <v>229</v>
      </c>
      <c r="I23" s="8" t="s">
        <v>230</v>
      </c>
      <c r="J23" s="8" t="s">
        <v>231</v>
      </c>
      <c r="K23" s="8" t="s">
        <v>232</v>
      </c>
      <c r="L23" s="8" t="s">
        <v>233</v>
      </c>
      <c r="M23" s="8" t="s">
        <v>234</v>
      </c>
      <c r="N23" s="8" t="s">
        <v>235</v>
      </c>
      <c r="O23" s="8" t="s">
        <v>236</v>
      </c>
      <c r="P23" s="8" t="s">
        <v>237</v>
      </c>
      <c r="Q23" s="8" t="s">
        <v>238</v>
      </c>
      <c r="R23" s="8" t="s">
        <v>239</v>
      </c>
      <c r="S23" s="8" t="s">
        <v>240</v>
      </c>
      <c r="T23" s="8" t="s">
        <v>241</v>
      </c>
      <c r="U23" s="8" t="s">
        <v>242</v>
      </c>
      <c r="V23" s="8" t="s">
        <v>243</v>
      </c>
      <c r="W23" s="8" t="s">
        <v>244</v>
      </c>
      <c r="X23" s="8" t="s">
        <v>245</v>
      </c>
      <c r="Y23" s="8" t="s">
        <v>246</v>
      </c>
      <c r="Z23" s="8" t="s">
        <v>247</v>
      </c>
      <c r="AA23" s="8" t="s">
        <v>248</v>
      </c>
      <c r="AB23" s="8" t="s">
        <v>249</v>
      </c>
    </row>
    <row r="24" spans="1:173" ht="16" thickTop="1" x14ac:dyDescent="0.2">
      <c r="A24" s="6" t="s">
        <v>250</v>
      </c>
      <c r="B24" s="1" t="s">
        <v>251</v>
      </c>
      <c r="E24" s="28" t="s">
        <v>252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45"/>
    </row>
    <row r="25" spans="1:173" x14ac:dyDescent="0.2">
      <c r="A25" s="6" t="s">
        <v>253</v>
      </c>
      <c r="B25" s="1" t="s">
        <v>254</v>
      </c>
      <c r="E25" s="28" t="s">
        <v>255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45"/>
    </row>
    <row r="26" spans="1:173" x14ac:dyDescent="0.2">
      <c r="A26" s="6" t="s">
        <v>256</v>
      </c>
      <c r="B26" s="1" t="s">
        <v>257</v>
      </c>
      <c r="E26" s="28" t="s">
        <v>258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45"/>
    </row>
    <row r="27" spans="1:173" x14ac:dyDescent="0.2">
      <c r="A27" s="6" t="s">
        <v>259</v>
      </c>
      <c r="B27" s="1" t="s">
        <v>260</v>
      </c>
      <c r="E27" s="28" t="s">
        <v>261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45"/>
    </row>
    <row r="28" spans="1:173" x14ac:dyDescent="0.2">
      <c r="A28" s="6" t="s">
        <v>262</v>
      </c>
      <c r="B28" s="1" t="s">
        <v>263</v>
      </c>
      <c r="E28" s="28" t="s">
        <v>264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45"/>
    </row>
    <row r="29" spans="1:173" x14ac:dyDescent="0.2">
      <c r="A29" s="6" t="s">
        <v>265</v>
      </c>
      <c r="B29" s="1" t="s">
        <v>266</v>
      </c>
      <c r="E29" s="28" t="s">
        <v>252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45"/>
    </row>
    <row r="30" spans="1:173" x14ac:dyDescent="0.2">
      <c r="A30" s="6" t="s">
        <v>267</v>
      </c>
      <c r="B30" s="1" t="s">
        <v>268</v>
      </c>
      <c r="E30" s="28" t="s">
        <v>255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45"/>
    </row>
    <row r="32" spans="1:173" ht="21" thickBot="1" x14ac:dyDescent="0.3">
      <c r="A32" s="7" t="s">
        <v>269</v>
      </c>
      <c r="B32" s="21" t="s">
        <v>1</v>
      </c>
      <c r="C32" s="8" t="s">
        <v>2</v>
      </c>
      <c r="D32" s="8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8" t="s">
        <v>13</v>
      </c>
      <c r="O32" s="8" t="s">
        <v>14</v>
      </c>
      <c r="P32" s="8" t="s">
        <v>15</v>
      </c>
      <c r="Q32" s="8" t="s">
        <v>16</v>
      </c>
      <c r="R32" s="8" t="s">
        <v>17</v>
      </c>
      <c r="S32" s="8" t="s">
        <v>18</v>
      </c>
      <c r="T32" s="8" t="s">
        <v>19</v>
      </c>
      <c r="U32" s="8" t="s">
        <v>20</v>
      </c>
      <c r="V32" s="8" t="s">
        <v>21</v>
      </c>
      <c r="W32" s="8" t="s">
        <v>22</v>
      </c>
      <c r="X32" s="8" t="s">
        <v>23</v>
      </c>
      <c r="Y32" s="8" t="s">
        <v>24</v>
      </c>
      <c r="Z32" s="8" t="s">
        <v>25</v>
      </c>
      <c r="AA32" s="8" t="s">
        <v>26</v>
      </c>
      <c r="AB32" s="8" t="s">
        <v>27</v>
      </c>
      <c r="AC32" s="46" t="s">
        <v>28</v>
      </c>
      <c r="AD32" s="8" t="s">
        <v>29</v>
      </c>
      <c r="AE32" s="8" t="s">
        <v>30</v>
      </c>
      <c r="AF32" s="8" t="s">
        <v>31</v>
      </c>
      <c r="AG32" s="8" t="s">
        <v>32</v>
      </c>
      <c r="AH32" s="8" t="s">
        <v>33</v>
      </c>
      <c r="AI32" s="8" t="s">
        <v>34</v>
      </c>
      <c r="AJ32" s="8" t="s">
        <v>35</v>
      </c>
      <c r="AK32" s="8" t="s">
        <v>36</v>
      </c>
      <c r="AL32" s="8" t="s">
        <v>37</v>
      </c>
      <c r="AM32" s="8" t="s">
        <v>38</v>
      </c>
      <c r="AN32" s="8" t="s">
        <v>39</v>
      </c>
      <c r="AO32" s="8" t="s">
        <v>40</v>
      </c>
      <c r="AP32" s="8" t="s">
        <v>41</v>
      </c>
      <c r="AQ32" s="8" t="s">
        <v>42</v>
      </c>
      <c r="AR32" s="8" t="s">
        <v>43</v>
      </c>
      <c r="AS32" s="8" t="s">
        <v>44</v>
      </c>
      <c r="AT32" s="8" t="s">
        <v>45</v>
      </c>
      <c r="AU32" s="8" t="s">
        <v>46</v>
      </c>
      <c r="AV32" s="8" t="s">
        <v>47</v>
      </c>
      <c r="AW32" s="8" t="s">
        <v>48</v>
      </c>
      <c r="AX32" s="8" t="s">
        <v>49</v>
      </c>
      <c r="AY32" s="8" t="s">
        <v>50</v>
      </c>
      <c r="AZ32" s="8" t="s">
        <v>51</v>
      </c>
      <c r="BA32" s="46" t="s">
        <v>52</v>
      </c>
      <c r="BB32" s="8" t="s">
        <v>53</v>
      </c>
      <c r="BC32" s="8" t="s">
        <v>54</v>
      </c>
      <c r="BD32" s="8" t="s">
        <v>55</v>
      </c>
      <c r="BE32" s="8" t="s">
        <v>56</v>
      </c>
      <c r="BF32" s="8" t="s">
        <v>57</v>
      </c>
      <c r="BG32" s="8" t="s">
        <v>58</v>
      </c>
      <c r="BH32" s="8" t="s">
        <v>59</v>
      </c>
      <c r="BI32" s="8" t="s">
        <v>60</v>
      </c>
      <c r="BJ32" s="8" t="s">
        <v>61</v>
      </c>
      <c r="BK32" s="8" t="s">
        <v>62</v>
      </c>
      <c r="BL32" s="8" t="s">
        <v>63</v>
      </c>
      <c r="BM32" s="8" t="s">
        <v>64</v>
      </c>
      <c r="BN32" s="8" t="s">
        <v>65</v>
      </c>
      <c r="BO32" s="8" t="s">
        <v>66</v>
      </c>
      <c r="BP32" s="8" t="s">
        <v>67</v>
      </c>
      <c r="BQ32" s="8" t="s">
        <v>68</v>
      </c>
      <c r="BR32" s="8" t="s">
        <v>69</v>
      </c>
      <c r="BS32" s="8" t="s">
        <v>70</v>
      </c>
      <c r="BT32" s="8" t="s">
        <v>71</v>
      </c>
      <c r="BU32" s="8" t="s">
        <v>72</v>
      </c>
      <c r="BV32" s="8" t="s">
        <v>73</v>
      </c>
      <c r="BW32" s="8" t="s">
        <v>74</v>
      </c>
      <c r="BX32" s="8" t="s">
        <v>75</v>
      </c>
      <c r="BY32" s="46" t="s">
        <v>76</v>
      </c>
      <c r="BZ32" s="8" t="s">
        <v>77</v>
      </c>
      <c r="CA32" s="8" t="s">
        <v>78</v>
      </c>
      <c r="CB32" s="8" t="s">
        <v>79</v>
      </c>
      <c r="CC32" s="8" t="s">
        <v>80</v>
      </c>
      <c r="CD32" s="8" t="s">
        <v>81</v>
      </c>
      <c r="CE32" s="8" t="s">
        <v>82</v>
      </c>
      <c r="CF32" s="8" t="s">
        <v>83</v>
      </c>
      <c r="CG32" s="8" t="s">
        <v>84</v>
      </c>
      <c r="CH32" s="8" t="s">
        <v>85</v>
      </c>
      <c r="CI32" s="8" t="s">
        <v>86</v>
      </c>
      <c r="CJ32" s="8" t="s">
        <v>87</v>
      </c>
      <c r="CK32" s="8" t="s">
        <v>88</v>
      </c>
      <c r="CL32" s="8" t="s">
        <v>89</v>
      </c>
      <c r="CM32" s="8" t="s">
        <v>90</v>
      </c>
      <c r="CN32" s="8" t="s">
        <v>91</v>
      </c>
      <c r="CO32" s="8" t="s">
        <v>92</v>
      </c>
      <c r="CP32" s="8" t="s">
        <v>93</v>
      </c>
      <c r="CQ32" s="8" t="s">
        <v>94</v>
      </c>
      <c r="CR32" s="8" t="s">
        <v>95</v>
      </c>
      <c r="CS32" s="8" t="s">
        <v>96</v>
      </c>
      <c r="CT32" s="8" t="s">
        <v>97</v>
      </c>
      <c r="CU32" s="8" t="s">
        <v>98</v>
      </c>
      <c r="CV32" s="8" t="s">
        <v>99</v>
      </c>
      <c r="CW32" s="46" t="s">
        <v>100</v>
      </c>
      <c r="CX32" s="8" t="s">
        <v>101</v>
      </c>
      <c r="CY32" s="8" t="s">
        <v>102</v>
      </c>
      <c r="CZ32" s="8" t="s">
        <v>103</v>
      </c>
      <c r="DA32" s="8" t="s">
        <v>104</v>
      </c>
      <c r="DB32" s="8" t="s">
        <v>105</v>
      </c>
      <c r="DC32" s="8" t="s">
        <v>106</v>
      </c>
      <c r="DD32" s="8" t="s">
        <v>107</v>
      </c>
      <c r="DE32" s="8" t="s">
        <v>108</v>
      </c>
      <c r="DF32" s="8" t="s">
        <v>109</v>
      </c>
      <c r="DG32" s="8" t="s">
        <v>110</v>
      </c>
      <c r="DH32" s="8" t="s">
        <v>111</v>
      </c>
      <c r="DI32" s="8" t="s">
        <v>112</v>
      </c>
      <c r="DJ32" s="8" t="s">
        <v>113</v>
      </c>
      <c r="DK32" s="8" t="s">
        <v>114</v>
      </c>
      <c r="DL32" s="8" t="s">
        <v>115</v>
      </c>
      <c r="DM32" s="8" t="s">
        <v>116</v>
      </c>
      <c r="DN32" s="8" t="s">
        <v>117</v>
      </c>
      <c r="DO32" s="8" t="s">
        <v>118</v>
      </c>
      <c r="DP32" s="8" t="s">
        <v>119</v>
      </c>
      <c r="DQ32" s="8" t="s">
        <v>120</v>
      </c>
      <c r="DR32" s="8" t="s">
        <v>121</v>
      </c>
      <c r="DS32" s="8" t="s">
        <v>122</v>
      </c>
      <c r="DT32" s="8" t="s">
        <v>123</v>
      </c>
      <c r="DU32" s="46" t="s">
        <v>124</v>
      </c>
      <c r="DV32" s="8" t="s">
        <v>125</v>
      </c>
      <c r="DW32" s="8" t="s">
        <v>126</v>
      </c>
      <c r="DX32" s="8" t="s">
        <v>127</v>
      </c>
      <c r="DY32" s="8" t="s">
        <v>128</v>
      </c>
      <c r="DZ32" s="8" t="s">
        <v>129</v>
      </c>
      <c r="EA32" s="8" t="s">
        <v>130</v>
      </c>
      <c r="EB32" s="8" t="s">
        <v>131</v>
      </c>
      <c r="EC32" s="8" t="s">
        <v>132</v>
      </c>
      <c r="ED32" s="8" t="s">
        <v>133</v>
      </c>
      <c r="EE32" s="8" t="s">
        <v>134</v>
      </c>
      <c r="EF32" s="8" t="s">
        <v>135</v>
      </c>
      <c r="EG32" s="8" t="s">
        <v>136</v>
      </c>
      <c r="EH32" s="8" t="s">
        <v>137</v>
      </c>
      <c r="EI32" s="8" t="s">
        <v>138</v>
      </c>
      <c r="EJ32" s="8" t="s">
        <v>139</v>
      </c>
      <c r="EK32" s="8" t="s">
        <v>140</v>
      </c>
      <c r="EL32" s="8" t="s">
        <v>141</v>
      </c>
      <c r="EM32" s="8" t="s">
        <v>142</v>
      </c>
      <c r="EN32" s="8" t="s">
        <v>143</v>
      </c>
      <c r="EO32" s="8" t="s">
        <v>144</v>
      </c>
      <c r="EP32" s="8" t="s">
        <v>145</v>
      </c>
      <c r="EQ32" s="8" t="s">
        <v>146</v>
      </c>
      <c r="ER32" s="8" t="s">
        <v>147</v>
      </c>
      <c r="ES32" s="46" t="s">
        <v>148</v>
      </c>
      <c r="ET32" s="8" t="s">
        <v>149</v>
      </c>
      <c r="EU32" s="8" t="s">
        <v>150</v>
      </c>
      <c r="EV32" s="8" t="s">
        <v>151</v>
      </c>
      <c r="EW32" s="8" t="s">
        <v>152</v>
      </c>
      <c r="EX32" s="8" t="s">
        <v>153</v>
      </c>
      <c r="EY32" s="8" t="s">
        <v>154</v>
      </c>
      <c r="EZ32" s="8" t="s">
        <v>155</v>
      </c>
      <c r="FA32" s="8" t="s">
        <v>156</v>
      </c>
      <c r="FB32" s="8" t="s">
        <v>157</v>
      </c>
      <c r="FC32" s="8" t="s">
        <v>158</v>
      </c>
      <c r="FD32" s="8" t="s">
        <v>159</v>
      </c>
      <c r="FE32" s="8" t="s">
        <v>160</v>
      </c>
      <c r="FF32" s="8" t="s">
        <v>161</v>
      </c>
      <c r="FG32" s="8" t="s">
        <v>162</v>
      </c>
      <c r="FH32" s="8" t="s">
        <v>163</v>
      </c>
      <c r="FI32" s="8" t="s">
        <v>164</v>
      </c>
      <c r="FJ32" s="8" t="s">
        <v>165</v>
      </c>
      <c r="FK32" s="8" t="s">
        <v>166</v>
      </c>
      <c r="FL32" s="8" t="s">
        <v>167</v>
      </c>
      <c r="FM32" s="8" t="s">
        <v>168</v>
      </c>
      <c r="FN32" s="8" t="s">
        <v>169</v>
      </c>
      <c r="FO32" s="8" t="s">
        <v>170</v>
      </c>
      <c r="FP32" s="8" t="s">
        <v>171</v>
      </c>
    </row>
    <row r="33" spans="1:173" ht="17" thickTop="1" thickBot="1" x14ac:dyDescent="0.25">
      <c r="A33" s="35" t="s">
        <v>270</v>
      </c>
      <c r="B33" s="1"/>
      <c r="C33" s="1"/>
      <c r="D33" s="24" t="b">
        <v>1</v>
      </c>
    </row>
    <row r="34" spans="1:173" s="51" customFormat="1" x14ac:dyDescent="0.2">
      <c r="A34" s="38" t="s">
        <v>271</v>
      </c>
      <c r="B34" s="1" t="s">
        <v>272</v>
      </c>
      <c r="C34" s="28" t="s">
        <v>261</v>
      </c>
      <c r="D34" s="1"/>
      <c r="E34" s="47">
        <v>25000</v>
      </c>
      <c r="F34" s="47">
        <v>25000</v>
      </c>
      <c r="G34" s="47">
        <v>25000</v>
      </c>
      <c r="H34" s="47">
        <v>25000</v>
      </c>
      <c r="I34" s="47">
        <v>25000</v>
      </c>
      <c r="J34" s="47">
        <v>25000</v>
      </c>
      <c r="K34" s="47">
        <v>25000</v>
      </c>
      <c r="L34" s="47">
        <v>25000</v>
      </c>
      <c r="M34" s="47">
        <v>25000</v>
      </c>
      <c r="N34" s="47">
        <v>25000</v>
      </c>
      <c r="O34" s="47">
        <v>25000</v>
      </c>
      <c r="P34" s="47">
        <v>25000</v>
      </c>
      <c r="Q34" s="47">
        <v>25000</v>
      </c>
      <c r="R34" s="47">
        <v>25000</v>
      </c>
      <c r="S34" s="47">
        <v>25000</v>
      </c>
      <c r="T34" s="47">
        <v>25000</v>
      </c>
      <c r="U34" s="47">
        <v>25000</v>
      </c>
      <c r="V34" s="47">
        <v>25000</v>
      </c>
      <c r="W34" s="47">
        <v>25000</v>
      </c>
      <c r="X34" s="47">
        <v>25000</v>
      </c>
      <c r="Y34" s="47">
        <v>25000</v>
      </c>
      <c r="Z34" s="47">
        <v>25000</v>
      </c>
      <c r="AA34" s="47">
        <v>25000</v>
      </c>
      <c r="AB34" s="48">
        <v>25000</v>
      </c>
      <c r="AC34" s="49">
        <v>25000</v>
      </c>
      <c r="AD34" s="47">
        <v>25000</v>
      </c>
      <c r="AE34" s="47">
        <v>25000</v>
      </c>
      <c r="AF34" s="47">
        <v>25000</v>
      </c>
      <c r="AG34" s="47">
        <v>25000</v>
      </c>
      <c r="AH34" s="47">
        <v>25000</v>
      </c>
      <c r="AI34" s="47">
        <v>25000</v>
      </c>
      <c r="AJ34" s="47">
        <v>25000</v>
      </c>
      <c r="AK34" s="47">
        <v>25000</v>
      </c>
      <c r="AL34" s="47">
        <v>25000</v>
      </c>
      <c r="AM34" s="47">
        <v>25000</v>
      </c>
      <c r="AN34" s="47">
        <v>25000</v>
      </c>
      <c r="AO34" s="47">
        <v>25000</v>
      </c>
      <c r="AP34" s="47">
        <v>25000</v>
      </c>
      <c r="AQ34" s="47">
        <v>25000</v>
      </c>
      <c r="AR34" s="47">
        <v>25000</v>
      </c>
      <c r="AS34" s="47">
        <v>25000</v>
      </c>
      <c r="AT34" s="47">
        <v>25000</v>
      </c>
      <c r="AU34" s="47">
        <v>25000</v>
      </c>
      <c r="AV34" s="47">
        <v>25000</v>
      </c>
      <c r="AW34" s="47">
        <v>25000</v>
      </c>
      <c r="AX34" s="47">
        <v>25000</v>
      </c>
      <c r="AY34" s="47">
        <v>25000</v>
      </c>
      <c r="AZ34" s="48">
        <v>25000</v>
      </c>
      <c r="BA34" s="49">
        <v>25000</v>
      </c>
      <c r="BB34" s="47">
        <v>25000</v>
      </c>
      <c r="BC34" s="47">
        <v>25000</v>
      </c>
      <c r="BD34" s="47">
        <v>25000</v>
      </c>
      <c r="BE34" s="47">
        <v>25000</v>
      </c>
      <c r="BF34" s="47">
        <v>25000</v>
      </c>
      <c r="BG34" s="47">
        <v>25000</v>
      </c>
      <c r="BH34" s="47">
        <v>25000</v>
      </c>
      <c r="BI34" s="47">
        <v>25000</v>
      </c>
      <c r="BJ34" s="47">
        <v>25000</v>
      </c>
      <c r="BK34" s="47">
        <v>25000</v>
      </c>
      <c r="BL34" s="47">
        <v>25000</v>
      </c>
      <c r="BM34" s="47">
        <v>25000</v>
      </c>
      <c r="BN34" s="47">
        <v>25000</v>
      </c>
      <c r="BO34" s="47">
        <v>25000</v>
      </c>
      <c r="BP34" s="47">
        <v>25000</v>
      </c>
      <c r="BQ34" s="47">
        <v>25000</v>
      </c>
      <c r="BR34" s="47">
        <v>25000</v>
      </c>
      <c r="BS34" s="47">
        <v>25000</v>
      </c>
      <c r="BT34" s="47">
        <v>25000</v>
      </c>
      <c r="BU34" s="47">
        <v>25000</v>
      </c>
      <c r="BV34" s="47">
        <v>25000</v>
      </c>
      <c r="BW34" s="47">
        <v>25000</v>
      </c>
      <c r="BX34" s="48">
        <v>25000</v>
      </c>
      <c r="BY34" s="49">
        <v>25000</v>
      </c>
      <c r="BZ34" s="47">
        <v>25000</v>
      </c>
      <c r="CA34" s="47">
        <v>25000</v>
      </c>
      <c r="CB34" s="47">
        <v>25000</v>
      </c>
      <c r="CC34" s="47">
        <v>25000</v>
      </c>
      <c r="CD34" s="47">
        <v>25000</v>
      </c>
      <c r="CE34" s="47">
        <v>25000</v>
      </c>
      <c r="CF34" s="47">
        <v>25000</v>
      </c>
      <c r="CG34" s="47">
        <v>25000</v>
      </c>
      <c r="CH34" s="47">
        <v>25000</v>
      </c>
      <c r="CI34" s="47">
        <v>25000</v>
      </c>
      <c r="CJ34" s="47">
        <v>25000</v>
      </c>
      <c r="CK34" s="47">
        <v>25000</v>
      </c>
      <c r="CL34" s="47">
        <v>25000</v>
      </c>
      <c r="CM34" s="47">
        <v>25000</v>
      </c>
      <c r="CN34" s="47">
        <v>25000</v>
      </c>
      <c r="CO34" s="47">
        <v>25000</v>
      </c>
      <c r="CP34" s="47">
        <v>25000</v>
      </c>
      <c r="CQ34" s="47">
        <v>25000</v>
      </c>
      <c r="CR34" s="47">
        <v>25000</v>
      </c>
      <c r="CS34" s="47">
        <v>25000</v>
      </c>
      <c r="CT34" s="47">
        <v>25000</v>
      </c>
      <c r="CU34" s="47">
        <v>25000</v>
      </c>
      <c r="CV34" s="48">
        <v>25000</v>
      </c>
      <c r="CW34" s="49">
        <v>25000</v>
      </c>
      <c r="CX34" s="47">
        <v>25000</v>
      </c>
      <c r="CY34" s="47">
        <v>25000</v>
      </c>
      <c r="CZ34" s="47">
        <v>25000</v>
      </c>
      <c r="DA34" s="47">
        <v>25000</v>
      </c>
      <c r="DB34" s="47">
        <v>25000</v>
      </c>
      <c r="DC34" s="47">
        <v>25000</v>
      </c>
      <c r="DD34" s="47">
        <v>25000</v>
      </c>
      <c r="DE34" s="47">
        <v>25000</v>
      </c>
      <c r="DF34" s="47">
        <v>25000</v>
      </c>
      <c r="DG34" s="47">
        <v>25000</v>
      </c>
      <c r="DH34" s="47">
        <v>25000</v>
      </c>
      <c r="DI34" s="47">
        <v>25000</v>
      </c>
      <c r="DJ34" s="47">
        <v>25000</v>
      </c>
      <c r="DK34" s="47">
        <v>25000</v>
      </c>
      <c r="DL34" s="47">
        <v>25000</v>
      </c>
      <c r="DM34" s="47">
        <v>25000</v>
      </c>
      <c r="DN34" s="47">
        <v>25000</v>
      </c>
      <c r="DO34" s="47">
        <v>25000</v>
      </c>
      <c r="DP34" s="47">
        <v>25000</v>
      </c>
      <c r="DQ34" s="47">
        <v>25000</v>
      </c>
      <c r="DR34" s="47">
        <v>25000</v>
      </c>
      <c r="DS34" s="47">
        <v>25000</v>
      </c>
      <c r="DT34" s="48">
        <v>25000</v>
      </c>
      <c r="DU34" s="49">
        <v>25000</v>
      </c>
      <c r="DV34" s="47">
        <v>25000</v>
      </c>
      <c r="DW34" s="47">
        <v>25000</v>
      </c>
      <c r="DX34" s="47">
        <v>25000</v>
      </c>
      <c r="DY34" s="47">
        <v>25000</v>
      </c>
      <c r="DZ34" s="47">
        <v>25000</v>
      </c>
      <c r="EA34" s="47">
        <v>25000</v>
      </c>
      <c r="EB34" s="47">
        <v>25000</v>
      </c>
      <c r="EC34" s="47">
        <v>25000</v>
      </c>
      <c r="ED34" s="47">
        <v>25000</v>
      </c>
      <c r="EE34" s="47">
        <v>25000</v>
      </c>
      <c r="EF34" s="47">
        <v>25000</v>
      </c>
      <c r="EG34" s="47">
        <v>25000</v>
      </c>
      <c r="EH34" s="47">
        <v>25000</v>
      </c>
      <c r="EI34" s="47">
        <v>25000</v>
      </c>
      <c r="EJ34" s="47">
        <v>25000</v>
      </c>
      <c r="EK34" s="47">
        <v>25000</v>
      </c>
      <c r="EL34" s="47">
        <v>25000</v>
      </c>
      <c r="EM34" s="47">
        <v>25000</v>
      </c>
      <c r="EN34" s="47">
        <v>25000</v>
      </c>
      <c r="EO34" s="47">
        <v>25000</v>
      </c>
      <c r="EP34" s="47">
        <v>25000</v>
      </c>
      <c r="EQ34" s="47">
        <v>25000</v>
      </c>
      <c r="ER34" s="48">
        <v>25000</v>
      </c>
      <c r="ES34" s="49">
        <v>25000</v>
      </c>
      <c r="ET34" s="47">
        <v>25000</v>
      </c>
      <c r="EU34" s="47">
        <v>25000</v>
      </c>
      <c r="EV34" s="47">
        <v>25000</v>
      </c>
      <c r="EW34" s="47">
        <v>25000</v>
      </c>
      <c r="EX34" s="47">
        <v>25000</v>
      </c>
      <c r="EY34" s="47">
        <v>25000</v>
      </c>
      <c r="EZ34" s="47">
        <v>25000</v>
      </c>
      <c r="FA34" s="47">
        <v>25000</v>
      </c>
      <c r="FB34" s="47">
        <v>25000</v>
      </c>
      <c r="FC34" s="47">
        <v>25000</v>
      </c>
      <c r="FD34" s="47">
        <v>25000</v>
      </c>
      <c r="FE34" s="47">
        <v>25000</v>
      </c>
      <c r="FF34" s="47">
        <v>25000</v>
      </c>
      <c r="FG34" s="47">
        <v>25000</v>
      </c>
      <c r="FH34" s="47">
        <v>25000</v>
      </c>
      <c r="FI34" s="47">
        <v>25000</v>
      </c>
      <c r="FJ34" s="47">
        <v>25000</v>
      </c>
      <c r="FK34" s="47">
        <v>25000</v>
      </c>
      <c r="FL34" s="47">
        <v>25000</v>
      </c>
      <c r="FM34" s="47">
        <v>25000</v>
      </c>
      <c r="FN34" s="47">
        <v>25000</v>
      </c>
      <c r="FO34" s="47">
        <v>25000</v>
      </c>
      <c r="FP34" s="48">
        <v>25000</v>
      </c>
      <c r="FQ34" s="50"/>
    </row>
    <row r="35" spans="1:173" x14ac:dyDescent="0.2">
      <c r="A35" s="38" t="s">
        <v>273</v>
      </c>
      <c r="B35" s="1" t="s">
        <v>274</v>
      </c>
      <c r="C35" s="28" t="s">
        <v>261</v>
      </c>
      <c r="D35" s="1"/>
      <c r="E35" s="47">
        <v>5000</v>
      </c>
      <c r="F35" s="47">
        <v>5000</v>
      </c>
      <c r="G35" s="47">
        <v>5000</v>
      </c>
      <c r="H35" s="47">
        <v>5000</v>
      </c>
      <c r="I35" s="47">
        <v>5000</v>
      </c>
      <c r="J35" s="47">
        <v>5000</v>
      </c>
      <c r="K35" s="47">
        <v>5000</v>
      </c>
      <c r="L35" s="47">
        <v>8000</v>
      </c>
      <c r="M35" s="47">
        <v>8000</v>
      </c>
      <c r="N35" s="47">
        <v>8000</v>
      </c>
      <c r="O35" s="47">
        <v>8000</v>
      </c>
      <c r="P35" s="47">
        <v>8000</v>
      </c>
      <c r="Q35" s="47">
        <v>8000</v>
      </c>
      <c r="R35" s="47">
        <v>8000</v>
      </c>
      <c r="S35" s="47">
        <v>8000</v>
      </c>
      <c r="T35" s="47">
        <v>8000</v>
      </c>
      <c r="U35" s="47">
        <v>8000</v>
      </c>
      <c r="V35" s="47">
        <v>8000</v>
      </c>
      <c r="W35" s="47">
        <v>8000</v>
      </c>
      <c r="X35" s="47">
        <v>5000</v>
      </c>
      <c r="Y35" s="47">
        <v>5000</v>
      </c>
      <c r="Z35" s="47">
        <v>5000</v>
      </c>
      <c r="AA35" s="47">
        <v>5000</v>
      </c>
      <c r="AB35" s="48">
        <v>5000</v>
      </c>
      <c r="AC35" s="49">
        <v>5000</v>
      </c>
      <c r="AD35" s="47">
        <v>5000</v>
      </c>
      <c r="AE35" s="47">
        <v>5000</v>
      </c>
      <c r="AF35" s="47">
        <v>5000</v>
      </c>
      <c r="AG35" s="47">
        <v>5000</v>
      </c>
      <c r="AH35" s="47">
        <v>5000</v>
      </c>
      <c r="AI35" s="47">
        <v>5000</v>
      </c>
      <c r="AJ35" s="47">
        <v>8000</v>
      </c>
      <c r="AK35" s="47">
        <v>8000</v>
      </c>
      <c r="AL35" s="47">
        <v>8000</v>
      </c>
      <c r="AM35" s="47">
        <v>8000</v>
      </c>
      <c r="AN35" s="47">
        <v>8000</v>
      </c>
      <c r="AO35" s="47">
        <v>8000</v>
      </c>
      <c r="AP35" s="47">
        <v>8000</v>
      </c>
      <c r="AQ35" s="47">
        <v>8000</v>
      </c>
      <c r="AR35" s="47">
        <v>8000</v>
      </c>
      <c r="AS35" s="47">
        <v>8000</v>
      </c>
      <c r="AT35" s="47">
        <v>8000</v>
      </c>
      <c r="AU35" s="47">
        <v>8000</v>
      </c>
      <c r="AV35" s="47">
        <v>5000</v>
      </c>
      <c r="AW35" s="47">
        <v>5000</v>
      </c>
      <c r="AX35" s="47">
        <v>5000</v>
      </c>
      <c r="AY35" s="47">
        <v>5000</v>
      </c>
      <c r="AZ35" s="48">
        <v>5000</v>
      </c>
      <c r="BA35" s="49">
        <v>5000</v>
      </c>
      <c r="BB35" s="47">
        <v>5000</v>
      </c>
      <c r="BC35" s="47">
        <v>5000</v>
      </c>
      <c r="BD35" s="47">
        <v>5000</v>
      </c>
      <c r="BE35" s="47">
        <v>5000</v>
      </c>
      <c r="BF35" s="47">
        <v>5000</v>
      </c>
      <c r="BG35" s="47">
        <v>5000</v>
      </c>
      <c r="BH35" s="47">
        <v>8000</v>
      </c>
      <c r="BI35" s="47">
        <v>8000</v>
      </c>
      <c r="BJ35" s="47">
        <v>8000</v>
      </c>
      <c r="BK35" s="47">
        <v>8000</v>
      </c>
      <c r="BL35" s="47">
        <v>8000</v>
      </c>
      <c r="BM35" s="47">
        <v>8000</v>
      </c>
      <c r="BN35" s="47">
        <v>8000</v>
      </c>
      <c r="BO35" s="47">
        <v>8000</v>
      </c>
      <c r="BP35" s="47">
        <v>8000</v>
      </c>
      <c r="BQ35" s="47">
        <v>8000</v>
      </c>
      <c r="BR35" s="47">
        <v>8000</v>
      </c>
      <c r="BS35" s="47">
        <v>8000</v>
      </c>
      <c r="BT35" s="47">
        <v>5000</v>
      </c>
      <c r="BU35" s="47">
        <v>5000</v>
      </c>
      <c r="BV35" s="47">
        <v>5000</v>
      </c>
      <c r="BW35" s="47">
        <v>5000</v>
      </c>
      <c r="BX35" s="48">
        <v>5000</v>
      </c>
      <c r="BY35" s="49">
        <v>5000</v>
      </c>
      <c r="BZ35" s="47">
        <v>5000</v>
      </c>
      <c r="CA35" s="47">
        <v>5000</v>
      </c>
      <c r="CB35" s="47">
        <v>5000</v>
      </c>
      <c r="CC35" s="47">
        <v>5000</v>
      </c>
      <c r="CD35" s="47">
        <v>5000</v>
      </c>
      <c r="CE35" s="47">
        <v>5000</v>
      </c>
      <c r="CF35" s="47">
        <v>8000</v>
      </c>
      <c r="CG35" s="47">
        <v>8000</v>
      </c>
      <c r="CH35" s="47">
        <v>8000</v>
      </c>
      <c r="CI35" s="47">
        <v>8000</v>
      </c>
      <c r="CJ35" s="47">
        <v>8000</v>
      </c>
      <c r="CK35" s="47">
        <v>8000</v>
      </c>
      <c r="CL35" s="47">
        <v>8000</v>
      </c>
      <c r="CM35" s="47">
        <v>8000</v>
      </c>
      <c r="CN35" s="47">
        <v>8000</v>
      </c>
      <c r="CO35" s="47">
        <v>8000</v>
      </c>
      <c r="CP35" s="47">
        <v>8000</v>
      </c>
      <c r="CQ35" s="47">
        <v>8000</v>
      </c>
      <c r="CR35" s="47">
        <v>5000</v>
      </c>
      <c r="CS35" s="47">
        <v>5000</v>
      </c>
      <c r="CT35" s="47">
        <v>5000</v>
      </c>
      <c r="CU35" s="47">
        <v>5000</v>
      </c>
      <c r="CV35" s="48">
        <v>5000</v>
      </c>
      <c r="CW35" s="49">
        <v>5000</v>
      </c>
      <c r="CX35" s="47">
        <v>5000</v>
      </c>
      <c r="CY35" s="47">
        <v>5000</v>
      </c>
      <c r="CZ35" s="47">
        <v>5000</v>
      </c>
      <c r="DA35" s="47">
        <v>5000</v>
      </c>
      <c r="DB35" s="47">
        <v>5000</v>
      </c>
      <c r="DC35" s="47">
        <v>5000</v>
      </c>
      <c r="DD35" s="47">
        <v>8000</v>
      </c>
      <c r="DE35" s="47">
        <v>8000</v>
      </c>
      <c r="DF35" s="47">
        <v>8000</v>
      </c>
      <c r="DG35" s="47">
        <v>8000</v>
      </c>
      <c r="DH35" s="47">
        <v>8000</v>
      </c>
      <c r="DI35" s="47">
        <v>8000</v>
      </c>
      <c r="DJ35" s="47">
        <v>8000</v>
      </c>
      <c r="DK35" s="47">
        <v>8000</v>
      </c>
      <c r="DL35" s="47">
        <v>8000</v>
      </c>
      <c r="DM35" s="47">
        <v>8000</v>
      </c>
      <c r="DN35" s="47">
        <v>8000</v>
      </c>
      <c r="DO35" s="47">
        <v>8000</v>
      </c>
      <c r="DP35" s="47">
        <v>5000</v>
      </c>
      <c r="DQ35" s="47">
        <v>5000</v>
      </c>
      <c r="DR35" s="47">
        <v>5000</v>
      </c>
      <c r="DS35" s="47">
        <v>5000</v>
      </c>
      <c r="DT35" s="48">
        <v>5000</v>
      </c>
      <c r="DU35" s="49">
        <v>5000</v>
      </c>
      <c r="DV35" s="47">
        <v>5000</v>
      </c>
      <c r="DW35" s="47">
        <v>5000</v>
      </c>
      <c r="DX35" s="47">
        <v>5000</v>
      </c>
      <c r="DY35" s="47">
        <v>5000</v>
      </c>
      <c r="DZ35" s="47">
        <v>5000</v>
      </c>
      <c r="EA35" s="47">
        <v>5000</v>
      </c>
      <c r="EB35" s="47">
        <v>8000</v>
      </c>
      <c r="EC35" s="47">
        <v>8000</v>
      </c>
      <c r="ED35" s="47">
        <v>8000</v>
      </c>
      <c r="EE35" s="47">
        <v>8000</v>
      </c>
      <c r="EF35" s="47">
        <v>8000</v>
      </c>
      <c r="EG35" s="47">
        <v>8000</v>
      </c>
      <c r="EH35" s="47">
        <v>8000</v>
      </c>
      <c r="EI35" s="47">
        <v>8000</v>
      </c>
      <c r="EJ35" s="47">
        <v>8000</v>
      </c>
      <c r="EK35" s="47">
        <v>8000</v>
      </c>
      <c r="EL35" s="47">
        <v>8000</v>
      </c>
      <c r="EM35" s="47">
        <v>8000</v>
      </c>
      <c r="EN35" s="47">
        <v>5000</v>
      </c>
      <c r="EO35" s="47">
        <v>5000</v>
      </c>
      <c r="EP35" s="47">
        <v>5000</v>
      </c>
      <c r="EQ35" s="47">
        <v>5000</v>
      </c>
      <c r="ER35" s="48">
        <v>5000</v>
      </c>
      <c r="ES35" s="49">
        <v>5000</v>
      </c>
      <c r="ET35" s="47">
        <v>5000</v>
      </c>
      <c r="EU35" s="47">
        <v>5000</v>
      </c>
      <c r="EV35" s="47">
        <v>5000</v>
      </c>
      <c r="EW35" s="47">
        <v>5000</v>
      </c>
      <c r="EX35" s="47">
        <v>5000</v>
      </c>
      <c r="EY35" s="47">
        <v>5000</v>
      </c>
      <c r="EZ35" s="47">
        <v>8000</v>
      </c>
      <c r="FA35" s="47">
        <v>8000</v>
      </c>
      <c r="FB35" s="47">
        <v>8000</v>
      </c>
      <c r="FC35" s="47">
        <v>8000</v>
      </c>
      <c r="FD35" s="47">
        <v>8000</v>
      </c>
      <c r="FE35" s="47">
        <v>8000</v>
      </c>
      <c r="FF35" s="47">
        <v>8000</v>
      </c>
      <c r="FG35" s="47">
        <v>8000</v>
      </c>
      <c r="FH35" s="47">
        <v>8000</v>
      </c>
      <c r="FI35" s="47">
        <v>8000</v>
      </c>
      <c r="FJ35" s="47">
        <v>8000</v>
      </c>
      <c r="FK35" s="47">
        <v>8000</v>
      </c>
      <c r="FL35" s="47">
        <v>5000</v>
      </c>
      <c r="FM35" s="47">
        <v>5000</v>
      </c>
      <c r="FN35" s="47">
        <v>5000</v>
      </c>
      <c r="FO35" s="47">
        <v>5000</v>
      </c>
      <c r="FP35" s="48">
        <v>5000</v>
      </c>
    </row>
    <row r="36" spans="1:173" ht="19" thickBot="1" x14ac:dyDescent="0.3">
      <c r="A36" s="35" t="s">
        <v>275</v>
      </c>
      <c r="B36" s="8"/>
      <c r="C36" s="8"/>
      <c r="D36" s="8"/>
      <c r="E36" s="8" t="s">
        <v>276</v>
      </c>
      <c r="F36" s="8" t="s">
        <v>277</v>
      </c>
      <c r="G36" s="8" t="s">
        <v>278</v>
      </c>
      <c r="H36" s="8" t="s">
        <v>279</v>
      </c>
      <c r="I36" s="8" t="s">
        <v>280</v>
      </c>
      <c r="J36" s="8" t="s">
        <v>281</v>
      </c>
      <c r="K36" s="8" t="s">
        <v>282</v>
      </c>
    </row>
    <row r="37" spans="1:173" x14ac:dyDescent="0.2">
      <c r="A37" s="38" t="s">
        <v>283</v>
      </c>
      <c r="B37" s="1" t="s">
        <v>284</v>
      </c>
      <c r="C37" s="28" t="s">
        <v>252</v>
      </c>
      <c r="D37" s="1"/>
      <c r="E37" s="47">
        <v>22741.587190082653</v>
      </c>
      <c r="F37" s="47">
        <v>22483.541322314057</v>
      </c>
      <c r="G37" s="47">
        <v>23027.996446280995</v>
      </c>
      <c r="H37" s="47">
        <v>23027.996446280995</v>
      </c>
      <c r="I37" s="47">
        <v>23027.996446280995</v>
      </c>
      <c r="J37" s="47">
        <v>23027.996446280995</v>
      </c>
      <c r="K37" s="47">
        <v>24466.131818181835</v>
      </c>
    </row>
    <row r="38" spans="1:173" x14ac:dyDescent="0.2">
      <c r="A38" s="38" t="s">
        <v>285</v>
      </c>
      <c r="B38" s="1" t="s">
        <v>286</v>
      </c>
      <c r="C38" s="1"/>
      <c r="D38" s="26" t="s">
        <v>189</v>
      </c>
    </row>
    <row r="39" spans="1:173" ht="16" thickBot="1" x14ac:dyDescent="0.25">
      <c r="A39" s="35" t="s">
        <v>287</v>
      </c>
      <c r="B39" s="1" t="s">
        <v>288</v>
      </c>
      <c r="C39" s="1"/>
      <c r="D39" s="24" t="b">
        <v>1</v>
      </c>
    </row>
    <row r="40" spans="1:173" x14ac:dyDescent="0.2">
      <c r="A40" s="38" t="s">
        <v>289</v>
      </c>
      <c r="B40" s="1" t="s">
        <v>290</v>
      </c>
      <c r="C40" s="28" t="s">
        <v>252</v>
      </c>
      <c r="D40" s="52"/>
      <c r="E40" s="47">
        <v>7100</v>
      </c>
      <c r="F40" s="47">
        <v>7100</v>
      </c>
      <c r="G40" s="47">
        <v>7100</v>
      </c>
      <c r="H40" s="47">
        <v>7100</v>
      </c>
      <c r="I40" s="47">
        <v>7100</v>
      </c>
      <c r="J40" s="47">
        <v>7100</v>
      </c>
      <c r="K40" s="47">
        <v>7630</v>
      </c>
    </row>
    <row r="41" spans="1:173" ht="16" thickBot="1" x14ac:dyDescent="0.25">
      <c r="A41" s="35" t="s">
        <v>291</v>
      </c>
      <c r="B41" s="1" t="s">
        <v>292</v>
      </c>
      <c r="C41" s="1"/>
      <c r="D41" s="24" t="b">
        <v>1</v>
      </c>
    </row>
    <row r="42" spans="1:173" x14ac:dyDescent="0.2">
      <c r="A42" s="38" t="s">
        <v>293</v>
      </c>
      <c r="B42" s="1" t="s">
        <v>294</v>
      </c>
      <c r="C42" s="28" t="s">
        <v>252</v>
      </c>
      <c r="D42" s="28">
        <v>15000</v>
      </c>
    </row>
    <row r="43" spans="1:173" x14ac:dyDescent="0.2">
      <c r="A43" s="38" t="s">
        <v>295</v>
      </c>
      <c r="B43" s="1" t="s">
        <v>296</v>
      </c>
      <c r="C43" s="28" t="s">
        <v>252</v>
      </c>
      <c r="D43" s="28">
        <v>15000</v>
      </c>
    </row>
    <row r="44" spans="1:173" x14ac:dyDescent="0.2">
      <c r="A44" s="38" t="s">
        <v>297</v>
      </c>
      <c r="B44" s="1" t="s">
        <v>298</v>
      </c>
      <c r="C44" s="28" t="s">
        <v>252</v>
      </c>
      <c r="D44" s="1"/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8">
        <v>0</v>
      </c>
      <c r="AC44" s="49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8">
        <v>0</v>
      </c>
      <c r="BA44" s="49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8">
        <v>0</v>
      </c>
      <c r="BY44" s="49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8">
        <v>0</v>
      </c>
      <c r="CW44" s="49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47">
        <v>0</v>
      </c>
      <c r="DK44" s="47">
        <v>0</v>
      </c>
      <c r="DL44" s="47">
        <v>0</v>
      </c>
      <c r="DM44" s="47">
        <v>0</v>
      </c>
      <c r="DN44" s="47">
        <v>0</v>
      </c>
      <c r="DO44" s="47">
        <v>0</v>
      </c>
      <c r="DP44" s="47">
        <v>0</v>
      </c>
      <c r="DQ44" s="47">
        <v>0</v>
      </c>
      <c r="DR44" s="47">
        <v>0</v>
      </c>
      <c r="DS44" s="47">
        <v>0</v>
      </c>
      <c r="DT44" s="48">
        <v>0</v>
      </c>
      <c r="DU44" s="49">
        <v>0</v>
      </c>
      <c r="DV44" s="47">
        <v>0</v>
      </c>
      <c r="DW44" s="47">
        <v>0</v>
      </c>
      <c r="DX44" s="47">
        <v>0</v>
      </c>
      <c r="DY44" s="47">
        <v>0</v>
      </c>
      <c r="DZ44" s="47">
        <v>0</v>
      </c>
      <c r="EA44" s="47">
        <v>0</v>
      </c>
      <c r="EB44" s="47">
        <v>0</v>
      </c>
      <c r="EC44" s="47">
        <v>0</v>
      </c>
      <c r="ED44" s="47">
        <v>0</v>
      </c>
      <c r="EE44" s="47">
        <v>0</v>
      </c>
      <c r="EF44" s="47">
        <v>0</v>
      </c>
      <c r="EG44" s="47">
        <v>0</v>
      </c>
      <c r="EH44" s="47">
        <v>0</v>
      </c>
      <c r="EI44" s="47">
        <v>0</v>
      </c>
      <c r="EJ44" s="47">
        <v>0</v>
      </c>
      <c r="EK44" s="47">
        <v>0</v>
      </c>
      <c r="EL44" s="47">
        <v>0</v>
      </c>
      <c r="EM44" s="47">
        <v>0</v>
      </c>
      <c r="EN44" s="47">
        <v>0</v>
      </c>
      <c r="EO44" s="47">
        <v>0</v>
      </c>
      <c r="EP44" s="47">
        <v>0</v>
      </c>
      <c r="EQ44" s="47">
        <v>0</v>
      </c>
      <c r="ER44" s="48">
        <v>0</v>
      </c>
      <c r="ES44" s="49">
        <v>0</v>
      </c>
      <c r="ET44" s="47">
        <v>0</v>
      </c>
      <c r="EU44" s="47">
        <v>0</v>
      </c>
      <c r="EV44" s="47">
        <v>0</v>
      </c>
      <c r="EW44" s="47">
        <v>0</v>
      </c>
      <c r="EX44" s="47">
        <v>0</v>
      </c>
      <c r="EY44" s="47">
        <v>0</v>
      </c>
      <c r="EZ44" s="47">
        <v>0</v>
      </c>
      <c r="FA44" s="47">
        <v>0</v>
      </c>
      <c r="FB44" s="47">
        <v>0</v>
      </c>
      <c r="FC44" s="47">
        <v>0</v>
      </c>
      <c r="FD44" s="47">
        <v>0</v>
      </c>
      <c r="FE44" s="47">
        <v>0</v>
      </c>
      <c r="FF44" s="47">
        <v>0</v>
      </c>
      <c r="FG44" s="47">
        <v>0</v>
      </c>
      <c r="FH44" s="47">
        <v>0</v>
      </c>
      <c r="FI44" s="47">
        <v>0</v>
      </c>
      <c r="FJ44" s="47">
        <v>0</v>
      </c>
      <c r="FK44" s="47">
        <v>0</v>
      </c>
      <c r="FL44" s="47">
        <v>0</v>
      </c>
      <c r="FM44" s="47">
        <v>0</v>
      </c>
      <c r="FN44" s="47">
        <v>0</v>
      </c>
      <c r="FO44" s="47">
        <v>0</v>
      </c>
      <c r="FP44" s="48">
        <v>0</v>
      </c>
    </row>
    <row r="45" spans="1:173" x14ac:dyDescent="0.2">
      <c r="A45" s="38" t="s">
        <v>299</v>
      </c>
      <c r="B45" s="1" t="s">
        <v>300</v>
      </c>
      <c r="C45" s="28" t="s">
        <v>252</v>
      </c>
      <c r="D45" s="1"/>
      <c r="E45" s="47">
        <v>700</v>
      </c>
      <c r="F45" s="47">
        <v>700</v>
      </c>
      <c r="G45" s="47">
        <v>700</v>
      </c>
      <c r="H45" s="47">
        <v>700</v>
      </c>
      <c r="I45" s="47">
        <v>700</v>
      </c>
      <c r="J45" s="47">
        <v>700</v>
      </c>
      <c r="K45" s="47">
        <v>700</v>
      </c>
      <c r="L45" s="47">
        <v>700</v>
      </c>
      <c r="M45" s="47">
        <v>700</v>
      </c>
      <c r="N45" s="47">
        <v>700</v>
      </c>
      <c r="O45" s="47">
        <v>700</v>
      </c>
      <c r="P45" s="47">
        <v>700</v>
      </c>
      <c r="Q45" s="47">
        <v>700</v>
      </c>
      <c r="R45" s="47">
        <v>700</v>
      </c>
      <c r="S45" s="47">
        <v>700</v>
      </c>
      <c r="T45" s="47">
        <v>700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8">
        <v>700</v>
      </c>
      <c r="AC45" s="49">
        <v>700</v>
      </c>
      <c r="AD45" s="47">
        <v>700</v>
      </c>
      <c r="AE45" s="47">
        <v>700</v>
      </c>
      <c r="AF45" s="47">
        <v>700</v>
      </c>
      <c r="AG45" s="47">
        <v>700</v>
      </c>
      <c r="AH45" s="47">
        <v>700</v>
      </c>
      <c r="AI45" s="47">
        <v>700</v>
      </c>
      <c r="AJ45" s="47">
        <v>700</v>
      </c>
      <c r="AK45" s="47">
        <v>700</v>
      </c>
      <c r="AL45" s="47">
        <v>700</v>
      </c>
      <c r="AM45" s="47">
        <v>700</v>
      </c>
      <c r="AN45" s="47">
        <v>700</v>
      </c>
      <c r="AO45" s="47">
        <v>700</v>
      </c>
      <c r="AP45" s="47">
        <v>700</v>
      </c>
      <c r="AQ45" s="47">
        <v>700</v>
      </c>
      <c r="AR45" s="47">
        <v>700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8">
        <v>700</v>
      </c>
      <c r="BA45" s="49">
        <v>700</v>
      </c>
      <c r="BB45" s="47">
        <v>700</v>
      </c>
      <c r="BC45" s="47">
        <v>700</v>
      </c>
      <c r="BD45" s="47">
        <v>700</v>
      </c>
      <c r="BE45" s="47">
        <v>700</v>
      </c>
      <c r="BF45" s="47">
        <v>700</v>
      </c>
      <c r="BG45" s="47">
        <v>700</v>
      </c>
      <c r="BH45" s="47">
        <v>700</v>
      </c>
      <c r="BI45" s="47">
        <v>700</v>
      </c>
      <c r="BJ45" s="47">
        <v>700</v>
      </c>
      <c r="BK45" s="47">
        <v>700</v>
      </c>
      <c r="BL45" s="47">
        <v>700</v>
      </c>
      <c r="BM45" s="47">
        <v>700</v>
      </c>
      <c r="BN45" s="47">
        <v>700</v>
      </c>
      <c r="BO45" s="47">
        <v>700</v>
      </c>
      <c r="BP45" s="47">
        <v>700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8">
        <v>700</v>
      </c>
      <c r="BY45" s="49">
        <v>700</v>
      </c>
      <c r="BZ45" s="47">
        <v>700</v>
      </c>
      <c r="CA45" s="47">
        <v>700</v>
      </c>
      <c r="CB45" s="47">
        <v>700</v>
      </c>
      <c r="CC45" s="47">
        <v>700</v>
      </c>
      <c r="CD45" s="47">
        <v>700</v>
      </c>
      <c r="CE45" s="47">
        <v>700</v>
      </c>
      <c r="CF45" s="47">
        <v>700</v>
      </c>
      <c r="CG45" s="47">
        <v>700</v>
      </c>
      <c r="CH45" s="47">
        <v>700</v>
      </c>
      <c r="CI45" s="47">
        <v>700</v>
      </c>
      <c r="CJ45" s="47">
        <v>700</v>
      </c>
      <c r="CK45" s="47">
        <v>700</v>
      </c>
      <c r="CL45" s="47">
        <v>700</v>
      </c>
      <c r="CM45" s="47">
        <v>700</v>
      </c>
      <c r="CN45" s="47">
        <v>700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8">
        <v>700</v>
      </c>
      <c r="CW45" s="49">
        <v>700</v>
      </c>
      <c r="CX45" s="47">
        <v>700</v>
      </c>
      <c r="CY45" s="47">
        <v>700</v>
      </c>
      <c r="CZ45" s="47">
        <v>700</v>
      </c>
      <c r="DA45" s="47">
        <v>700</v>
      </c>
      <c r="DB45" s="47">
        <v>700</v>
      </c>
      <c r="DC45" s="47">
        <v>700</v>
      </c>
      <c r="DD45" s="47">
        <v>700</v>
      </c>
      <c r="DE45" s="47">
        <v>700</v>
      </c>
      <c r="DF45" s="47">
        <v>700</v>
      </c>
      <c r="DG45" s="47">
        <v>700</v>
      </c>
      <c r="DH45" s="47">
        <v>700</v>
      </c>
      <c r="DI45" s="47">
        <v>700</v>
      </c>
      <c r="DJ45" s="47">
        <v>700</v>
      </c>
      <c r="DK45" s="47">
        <v>700</v>
      </c>
      <c r="DL45" s="47">
        <v>700</v>
      </c>
      <c r="DM45" s="47">
        <v>0</v>
      </c>
      <c r="DN45" s="47">
        <v>0</v>
      </c>
      <c r="DO45" s="47">
        <v>0</v>
      </c>
      <c r="DP45" s="47">
        <v>0</v>
      </c>
      <c r="DQ45" s="47">
        <v>0</v>
      </c>
      <c r="DR45" s="47">
        <v>0</v>
      </c>
      <c r="DS45" s="47">
        <v>0</v>
      </c>
      <c r="DT45" s="48">
        <v>700</v>
      </c>
      <c r="DU45" s="49">
        <v>700</v>
      </c>
      <c r="DV45" s="47">
        <v>700</v>
      </c>
      <c r="DW45" s="47">
        <v>700</v>
      </c>
      <c r="DX45" s="47">
        <v>700</v>
      </c>
      <c r="DY45" s="47">
        <v>700</v>
      </c>
      <c r="DZ45" s="47">
        <v>700</v>
      </c>
      <c r="EA45" s="47">
        <v>700</v>
      </c>
      <c r="EB45" s="47">
        <v>700</v>
      </c>
      <c r="EC45" s="47">
        <v>700</v>
      </c>
      <c r="ED45" s="47">
        <v>700</v>
      </c>
      <c r="EE45" s="47">
        <v>700</v>
      </c>
      <c r="EF45" s="47">
        <v>700</v>
      </c>
      <c r="EG45" s="47">
        <v>700</v>
      </c>
      <c r="EH45" s="47">
        <v>700</v>
      </c>
      <c r="EI45" s="47">
        <v>700</v>
      </c>
      <c r="EJ45" s="47">
        <v>700</v>
      </c>
      <c r="EK45" s="47">
        <v>0</v>
      </c>
      <c r="EL45" s="47">
        <v>0</v>
      </c>
      <c r="EM45" s="47">
        <v>0</v>
      </c>
      <c r="EN45" s="47">
        <v>0</v>
      </c>
      <c r="EO45" s="47">
        <v>0</v>
      </c>
      <c r="EP45" s="47">
        <v>0</v>
      </c>
      <c r="EQ45" s="47">
        <v>0</v>
      </c>
      <c r="ER45" s="48">
        <v>700</v>
      </c>
      <c r="ES45" s="49">
        <v>700</v>
      </c>
      <c r="ET45" s="47">
        <v>700</v>
      </c>
      <c r="EU45" s="47">
        <v>700</v>
      </c>
      <c r="EV45" s="47">
        <v>700</v>
      </c>
      <c r="EW45" s="47">
        <v>700</v>
      </c>
      <c r="EX45" s="47">
        <v>700</v>
      </c>
      <c r="EY45" s="47">
        <v>700</v>
      </c>
      <c r="EZ45" s="47">
        <v>700</v>
      </c>
      <c r="FA45" s="47">
        <v>700</v>
      </c>
      <c r="FB45" s="47">
        <v>700</v>
      </c>
      <c r="FC45" s="47">
        <v>700</v>
      </c>
      <c r="FD45" s="47">
        <v>700</v>
      </c>
      <c r="FE45" s="47">
        <v>700</v>
      </c>
      <c r="FF45" s="47">
        <v>700</v>
      </c>
      <c r="FG45" s="47">
        <v>700</v>
      </c>
      <c r="FH45" s="47">
        <v>700</v>
      </c>
      <c r="FI45" s="47">
        <v>0</v>
      </c>
      <c r="FJ45" s="47">
        <v>0</v>
      </c>
      <c r="FK45" s="47">
        <v>0</v>
      </c>
      <c r="FL45" s="47">
        <v>0</v>
      </c>
      <c r="FM45" s="47">
        <v>0</v>
      </c>
      <c r="FN45" s="47">
        <v>0</v>
      </c>
      <c r="FO45" s="47">
        <v>0</v>
      </c>
      <c r="FP45" s="48">
        <v>700</v>
      </c>
    </row>
    <row r="46" spans="1:173" x14ac:dyDescent="0.2">
      <c r="A46" s="38" t="s">
        <v>301</v>
      </c>
      <c r="B46" s="1" t="s">
        <v>302</v>
      </c>
      <c r="C46" s="28" t="s">
        <v>252</v>
      </c>
      <c r="D46" s="1"/>
      <c r="E46" s="47">
        <v>15000</v>
      </c>
      <c r="F46" s="47">
        <v>15000</v>
      </c>
      <c r="G46" s="47">
        <v>15000</v>
      </c>
      <c r="H46" s="47">
        <v>15000</v>
      </c>
      <c r="I46" s="47">
        <v>15000</v>
      </c>
      <c r="J46" s="47">
        <v>15000</v>
      </c>
      <c r="K46" s="47">
        <v>15000</v>
      </c>
      <c r="L46" s="47">
        <v>15000</v>
      </c>
      <c r="M46" s="47">
        <v>15000</v>
      </c>
      <c r="N46" s="47">
        <v>15000</v>
      </c>
      <c r="O46" s="47">
        <v>15000</v>
      </c>
      <c r="P46" s="47">
        <v>15000</v>
      </c>
      <c r="Q46" s="47">
        <v>15000</v>
      </c>
      <c r="R46" s="47">
        <v>15000</v>
      </c>
      <c r="S46" s="47">
        <v>15000</v>
      </c>
      <c r="T46" s="47">
        <v>15000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8">
        <v>15000</v>
      </c>
      <c r="AC46" s="49">
        <v>15000</v>
      </c>
      <c r="AD46" s="47">
        <v>15000</v>
      </c>
      <c r="AE46" s="47">
        <v>15000</v>
      </c>
      <c r="AF46" s="47">
        <v>15000</v>
      </c>
      <c r="AG46" s="47">
        <v>15000</v>
      </c>
      <c r="AH46" s="47">
        <v>15000</v>
      </c>
      <c r="AI46" s="47">
        <v>15000</v>
      </c>
      <c r="AJ46" s="47">
        <v>15000</v>
      </c>
      <c r="AK46" s="47">
        <v>15000</v>
      </c>
      <c r="AL46" s="47">
        <v>15000</v>
      </c>
      <c r="AM46" s="47">
        <v>15000</v>
      </c>
      <c r="AN46" s="47">
        <v>15000</v>
      </c>
      <c r="AO46" s="47">
        <v>15000</v>
      </c>
      <c r="AP46" s="47">
        <v>15000</v>
      </c>
      <c r="AQ46" s="47">
        <v>15000</v>
      </c>
      <c r="AR46" s="47">
        <v>15000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8">
        <v>15000</v>
      </c>
      <c r="BA46" s="49">
        <v>15000</v>
      </c>
      <c r="BB46" s="47">
        <v>15000</v>
      </c>
      <c r="BC46" s="47">
        <v>15000</v>
      </c>
      <c r="BD46" s="47">
        <v>15000</v>
      </c>
      <c r="BE46" s="47">
        <v>15000</v>
      </c>
      <c r="BF46" s="47">
        <v>15000</v>
      </c>
      <c r="BG46" s="47">
        <v>15000</v>
      </c>
      <c r="BH46" s="47">
        <v>15000</v>
      </c>
      <c r="BI46" s="47">
        <v>15000</v>
      </c>
      <c r="BJ46" s="47">
        <v>15000</v>
      </c>
      <c r="BK46" s="47">
        <v>15000</v>
      </c>
      <c r="BL46" s="47">
        <v>15000</v>
      </c>
      <c r="BM46" s="47">
        <v>15000</v>
      </c>
      <c r="BN46" s="47">
        <v>15000</v>
      </c>
      <c r="BO46" s="47">
        <v>15000</v>
      </c>
      <c r="BP46" s="47">
        <v>15000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8">
        <v>15000</v>
      </c>
      <c r="BY46" s="49">
        <v>15000</v>
      </c>
      <c r="BZ46" s="47">
        <v>15000</v>
      </c>
      <c r="CA46" s="47">
        <v>15000</v>
      </c>
      <c r="CB46" s="47">
        <v>15000</v>
      </c>
      <c r="CC46" s="47">
        <v>15000</v>
      </c>
      <c r="CD46" s="47">
        <v>15000</v>
      </c>
      <c r="CE46" s="47">
        <v>15000</v>
      </c>
      <c r="CF46" s="47">
        <v>15000</v>
      </c>
      <c r="CG46" s="47">
        <v>15000</v>
      </c>
      <c r="CH46" s="47">
        <v>15000</v>
      </c>
      <c r="CI46" s="47">
        <v>15000</v>
      </c>
      <c r="CJ46" s="47">
        <v>15000</v>
      </c>
      <c r="CK46" s="47">
        <v>15000</v>
      </c>
      <c r="CL46" s="47">
        <v>15000</v>
      </c>
      <c r="CM46" s="47">
        <v>15000</v>
      </c>
      <c r="CN46" s="47">
        <v>15000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8">
        <v>15000</v>
      </c>
      <c r="CW46" s="49">
        <v>15000</v>
      </c>
      <c r="CX46" s="47">
        <v>15000</v>
      </c>
      <c r="CY46" s="47">
        <v>15000</v>
      </c>
      <c r="CZ46" s="47">
        <v>15000</v>
      </c>
      <c r="DA46" s="47">
        <v>15000</v>
      </c>
      <c r="DB46" s="47">
        <v>15000</v>
      </c>
      <c r="DC46" s="47">
        <v>15000</v>
      </c>
      <c r="DD46" s="47">
        <v>15000</v>
      </c>
      <c r="DE46" s="47">
        <v>15000</v>
      </c>
      <c r="DF46" s="47">
        <v>15000</v>
      </c>
      <c r="DG46" s="47">
        <v>15000</v>
      </c>
      <c r="DH46" s="47">
        <v>15000</v>
      </c>
      <c r="DI46" s="47">
        <v>15000</v>
      </c>
      <c r="DJ46" s="47">
        <v>15000</v>
      </c>
      <c r="DK46" s="47">
        <v>15000</v>
      </c>
      <c r="DL46" s="47">
        <v>15000</v>
      </c>
      <c r="DM46" s="47">
        <v>0</v>
      </c>
      <c r="DN46" s="47">
        <v>0</v>
      </c>
      <c r="DO46" s="47">
        <v>0</v>
      </c>
      <c r="DP46" s="47">
        <v>0</v>
      </c>
      <c r="DQ46" s="47">
        <v>0</v>
      </c>
      <c r="DR46" s="47">
        <v>0</v>
      </c>
      <c r="DS46" s="47">
        <v>0</v>
      </c>
      <c r="DT46" s="48">
        <v>15000</v>
      </c>
      <c r="DU46" s="49">
        <v>15000</v>
      </c>
      <c r="DV46" s="47">
        <v>15000</v>
      </c>
      <c r="DW46" s="47">
        <v>15000</v>
      </c>
      <c r="DX46" s="47">
        <v>15000</v>
      </c>
      <c r="DY46" s="47">
        <v>15000</v>
      </c>
      <c r="DZ46" s="47">
        <v>15000</v>
      </c>
      <c r="EA46" s="47">
        <v>15000</v>
      </c>
      <c r="EB46" s="47">
        <v>15000</v>
      </c>
      <c r="EC46" s="47">
        <v>15000</v>
      </c>
      <c r="ED46" s="47">
        <v>15000</v>
      </c>
      <c r="EE46" s="47">
        <v>15000</v>
      </c>
      <c r="EF46" s="47">
        <v>15000</v>
      </c>
      <c r="EG46" s="47">
        <v>15000</v>
      </c>
      <c r="EH46" s="47">
        <v>15000</v>
      </c>
      <c r="EI46" s="47">
        <v>15000</v>
      </c>
      <c r="EJ46" s="47">
        <v>15000</v>
      </c>
      <c r="EK46" s="47">
        <v>0</v>
      </c>
      <c r="EL46" s="47">
        <v>0</v>
      </c>
      <c r="EM46" s="47">
        <v>0</v>
      </c>
      <c r="EN46" s="47">
        <v>0</v>
      </c>
      <c r="EO46" s="47">
        <v>0</v>
      </c>
      <c r="EP46" s="47">
        <v>0</v>
      </c>
      <c r="EQ46" s="47">
        <v>0</v>
      </c>
      <c r="ER46" s="48">
        <v>15000</v>
      </c>
      <c r="ES46" s="49">
        <v>15000</v>
      </c>
      <c r="ET46" s="47">
        <v>15000</v>
      </c>
      <c r="EU46" s="47">
        <v>15000</v>
      </c>
      <c r="EV46" s="47">
        <v>15000</v>
      </c>
      <c r="EW46" s="47">
        <v>15000</v>
      </c>
      <c r="EX46" s="47">
        <v>15000</v>
      </c>
      <c r="EY46" s="47">
        <v>15000</v>
      </c>
      <c r="EZ46" s="47">
        <v>15000</v>
      </c>
      <c r="FA46" s="47">
        <v>15000</v>
      </c>
      <c r="FB46" s="47">
        <v>15000</v>
      </c>
      <c r="FC46" s="47">
        <v>15000</v>
      </c>
      <c r="FD46" s="47">
        <v>15000</v>
      </c>
      <c r="FE46" s="47">
        <v>15000</v>
      </c>
      <c r="FF46" s="47">
        <v>15000</v>
      </c>
      <c r="FG46" s="47">
        <v>15000</v>
      </c>
      <c r="FH46" s="47">
        <v>15000</v>
      </c>
      <c r="FI46" s="47">
        <v>0</v>
      </c>
      <c r="FJ46" s="47">
        <v>0</v>
      </c>
      <c r="FK46" s="47">
        <v>0</v>
      </c>
      <c r="FL46" s="47">
        <v>0</v>
      </c>
      <c r="FM46" s="47">
        <v>0</v>
      </c>
      <c r="FN46" s="47">
        <v>0</v>
      </c>
      <c r="FO46" s="47">
        <v>0</v>
      </c>
      <c r="FP46" s="48">
        <v>15000</v>
      </c>
    </row>
    <row r="47" spans="1:173" x14ac:dyDescent="0.2">
      <c r="A47" s="53" t="s">
        <v>303</v>
      </c>
      <c r="B47" s="1" t="s">
        <v>304</v>
      </c>
      <c r="C47" s="28" t="s">
        <v>252</v>
      </c>
      <c r="D47" s="24" t="b">
        <v>1</v>
      </c>
      <c r="E47" s="29" t="s">
        <v>411</v>
      </c>
    </row>
    <row r="48" spans="1:173" x14ac:dyDescent="0.2">
      <c r="A48" s="53" t="s">
        <v>305</v>
      </c>
      <c r="B48" s="1" t="s">
        <v>306</v>
      </c>
      <c r="C48" s="28" t="s">
        <v>252</v>
      </c>
      <c r="D48" s="28">
        <v>4</v>
      </c>
      <c r="E48" s="29"/>
    </row>
    <row r="49" spans="1:172" x14ac:dyDescent="0.2">
      <c r="A49" s="53" t="s">
        <v>307</v>
      </c>
      <c r="B49" s="1" t="s">
        <v>308</v>
      </c>
      <c r="C49" s="28" t="s">
        <v>252</v>
      </c>
      <c r="D49" s="28">
        <v>4</v>
      </c>
      <c r="E49" s="54"/>
    </row>
    <row r="50" spans="1:172" ht="16" thickBot="1" x14ac:dyDescent="0.25">
      <c r="A50" s="55" t="s">
        <v>309</v>
      </c>
      <c r="B50" s="1" t="s">
        <v>310</v>
      </c>
      <c r="C50" s="28" t="s">
        <v>252</v>
      </c>
      <c r="D50" s="28">
        <v>4</v>
      </c>
      <c r="E50" s="54"/>
    </row>
    <row r="51" spans="1:172" ht="16" thickBot="1" x14ac:dyDescent="0.25">
      <c r="A51" s="35" t="s">
        <v>311</v>
      </c>
      <c r="B51" s="1" t="s">
        <v>312</v>
      </c>
      <c r="C51" s="1"/>
      <c r="D51" s="24" t="b">
        <v>1</v>
      </c>
    </row>
    <row r="52" spans="1:172" x14ac:dyDescent="0.2">
      <c r="A52" s="38" t="s">
        <v>313</v>
      </c>
      <c r="B52" s="1" t="s">
        <v>314</v>
      </c>
      <c r="C52" s="28" t="s">
        <v>252</v>
      </c>
      <c r="D52" s="28">
        <v>10000</v>
      </c>
    </row>
    <row r="53" spans="1:172" x14ac:dyDescent="0.2">
      <c r="A53" s="38" t="s">
        <v>315</v>
      </c>
      <c r="B53" s="1" t="s">
        <v>316</v>
      </c>
      <c r="C53" s="28" t="s">
        <v>252</v>
      </c>
      <c r="D53" s="28">
        <v>10000</v>
      </c>
    </row>
    <row r="54" spans="1:172" x14ac:dyDescent="0.2">
      <c r="A54" s="38" t="s">
        <v>317</v>
      </c>
      <c r="B54" s="1" t="s">
        <v>318</v>
      </c>
      <c r="C54" s="28" t="s">
        <v>252</v>
      </c>
      <c r="D54" s="1"/>
      <c r="E54" s="47">
        <v>2400</v>
      </c>
      <c r="F54" s="47">
        <v>2400</v>
      </c>
      <c r="G54" s="47">
        <v>2400</v>
      </c>
      <c r="H54" s="47">
        <v>2400</v>
      </c>
      <c r="I54" s="47">
        <v>2400</v>
      </c>
      <c r="J54" s="47">
        <v>2400</v>
      </c>
      <c r="K54" s="47">
        <v>2400</v>
      </c>
      <c r="L54" s="47">
        <v>2400</v>
      </c>
      <c r="M54" s="47">
        <v>2400</v>
      </c>
      <c r="N54" s="47">
        <v>2400</v>
      </c>
      <c r="O54" s="47">
        <v>2400</v>
      </c>
      <c r="P54" s="47">
        <v>2400</v>
      </c>
      <c r="Q54" s="47">
        <v>2400</v>
      </c>
      <c r="R54" s="47">
        <v>2400</v>
      </c>
      <c r="S54" s="47">
        <v>2400</v>
      </c>
      <c r="T54" s="47">
        <v>2400</v>
      </c>
      <c r="U54" s="47">
        <v>2400</v>
      </c>
      <c r="V54" s="47">
        <v>2400</v>
      </c>
      <c r="W54" s="47">
        <v>2400</v>
      </c>
      <c r="X54" s="47">
        <v>2400</v>
      </c>
      <c r="Y54" s="47">
        <v>2400</v>
      </c>
      <c r="Z54" s="47">
        <v>2400</v>
      </c>
      <c r="AA54" s="47">
        <v>2400</v>
      </c>
      <c r="AB54" s="48">
        <v>2400</v>
      </c>
      <c r="AC54" s="49">
        <v>2400</v>
      </c>
      <c r="AD54" s="47">
        <v>2400</v>
      </c>
      <c r="AE54" s="47">
        <v>2400</v>
      </c>
      <c r="AF54" s="47">
        <v>2400</v>
      </c>
      <c r="AG54" s="47">
        <v>2400</v>
      </c>
      <c r="AH54" s="47">
        <v>2400</v>
      </c>
      <c r="AI54" s="47">
        <v>2400</v>
      </c>
      <c r="AJ54" s="47">
        <v>2400</v>
      </c>
      <c r="AK54" s="47">
        <v>2400</v>
      </c>
      <c r="AL54" s="47">
        <v>2400</v>
      </c>
      <c r="AM54" s="47">
        <v>2400</v>
      </c>
      <c r="AN54" s="47">
        <v>2400</v>
      </c>
      <c r="AO54" s="47">
        <v>2400</v>
      </c>
      <c r="AP54" s="47">
        <v>2400</v>
      </c>
      <c r="AQ54" s="47">
        <v>2400</v>
      </c>
      <c r="AR54" s="47">
        <v>2400</v>
      </c>
      <c r="AS54" s="47">
        <v>2400</v>
      </c>
      <c r="AT54" s="47">
        <v>2400</v>
      </c>
      <c r="AU54" s="47">
        <v>2400</v>
      </c>
      <c r="AV54" s="47">
        <v>2400</v>
      </c>
      <c r="AW54" s="47">
        <v>2400</v>
      </c>
      <c r="AX54" s="47">
        <v>2400</v>
      </c>
      <c r="AY54" s="47">
        <v>2400</v>
      </c>
      <c r="AZ54" s="48">
        <v>2400</v>
      </c>
      <c r="BA54" s="49">
        <v>2400</v>
      </c>
      <c r="BB54" s="47">
        <v>2400</v>
      </c>
      <c r="BC54" s="47">
        <v>2400</v>
      </c>
      <c r="BD54" s="47">
        <v>2400</v>
      </c>
      <c r="BE54" s="47">
        <v>2400</v>
      </c>
      <c r="BF54" s="47">
        <v>2400</v>
      </c>
      <c r="BG54" s="47">
        <v>2400</v>
      </c>
      <c r="BH54" s="47">
        <v>2400</v>
      </c>
      <c r="BI54" s="47">
        <v>2400</v>
      </c>
      <c r="BJ54" s="47">
        <v>2400</v>
      </c>
      <c r="BK54" s="47">
        <v>2400</v>
      </c>
      <c r="BL54" s="47">
        <v>2400</v>
      </c>
      <c r="BM54" s="47">
        <v>2400</v>
      </c>
      <c r="BN54" s="47">
        <v>2400</v>
      </c>
      <c r="BO54" s="47">
        <v>2400</v>
      </c>
      <c r="BP54" s="47">
        <v>2400</v>
      </c>
      <c r="BQ54" s="47">
        <v>2400</v>
      </c>
      <c r="BR54" s="47">
        <v>2400</v>
      </c>
      <c r="BS54" s="47">
        <v>2400</v>
      </c>
      <c r="BT54" s="47">
        <v>2400</v>
      </c>
      <c r="BU54" s="47">
        <v>2400</v>
      </c>
      <c r="BV54" s="47">
        <v>2400</v>
      </c>
      <c r="BW54" s="47">
        <v>2400</v>
      </c>
      <c r="BX54" s="48">
        <v>2400</v>
      </c>
      <c r="BY54" s="49">
        <v>2400</v>
      </c>
      <c r="BZ54" s="47">
        <v>2400</v>
      </c>
      <c r="CA54" s="47">
        <v>2400</v>
      </c>
      <c r="CB54" s="47">
        <v>2400</v>
      </c>
      <c r="CC54" s="47">
        <v>2400</v>
      </c>
      <c r="CD54" s="47">
        <v>2400</v>
      </c>
      <c r="CE54" s="47">
        <v>2400</v>
      </c>
      <c r="CF54" s="47">
        <v>2400</v>
      </c>
      <c r="CG54" s="47">
        <v>2400</v>
      </c>
      <c r="CH54" s="47">
        <v>2400</v>
      </c>
      <c r="CI54" s="47">
        <v>2400</v>
      </c>
      <c r="CJ54" s="47">
        <v>2400</v>
      </c>
      <c r="CK54" s="47">
        <v>2400</v>
      </c>
      <c r="CL54" s="47">
        <v>2400</v>
      </c>
      <c r="CM54" s="47">
        <v>2400</v>
      </c>
      <c r="CN54" s="47">
        <v>2400</v>
      </c>
      <c r="CO54" s="47">
        <v>2400</v>
      </c>
      <c r="CP54" s="47">
        <v>2400</v>
      </c>
      <c r="CQ54" s="47">
        <v>2400</v>
      </c>
      <c r="CR54" s="47">
        <v>2400</v>
      </c>
      <c r="CS54" s="47">
        <v>2400</v>
      </c>
      <c r="CT54" s="47">
        <v>2400</v>
      </c>
      <c r="CU54" s="47">
        <v>2400</v>
      </c>
      <c r="CV54" s="48">
        <v>2400</v>
      </c>
      <c r="CW54" s="49">
        <v>2400</v>
      </c>
      <c r="CX54" s="47">
        <v>2400</v>
      </c>
      <c r="CY54" s="47">
        <v>2400</v>
      </c>
      <c r="CZ54" s="47">
        <v>2400</v>
      </c>
      <c r="DA54" s="47">
        <v>2400</v>
      </c>
      <c r="DB54" s="47">
        <v>2400</v>
      </c>
      <c r="DC54" s="47">
        <v>2400</v>
      </c>
      <c r="DD54" s="47">
        <v>2400</v>
      </c>
      <c r="DE54" s="47">
        <v>2400</v>
      </c>
      <c r="DF54" s="47">
        <v>2400</v>
      </c>
      <c r="DG54" s="47">
        <v>2400</v>
      </c>
      <c r="DH54" s="47">
        <v>2400</v>
      </c>
      <c r="DI54" s="47">
        <v>2400</v>
      </c>
      <c r="DJ54" s="47">
        <v>2400</v>
      </c>
      <c r="DK54" s="47">
        <v>2400</v>
      </c>
      <c r="DL54" s="47">
        <v>2400</v>
      </c>
      <c r="DM54" s="47">
        <v>2400</v>
      </c>
      <c r="DN54" s="47">
        <v>2400</v>
      </c>
      <c r="DO54" s="47">
        <v>2400</v>
      </c>
      <c r="DP54" s="47">
        <v>2400</v>
      </c>
      <c r="DQ54" s="47">
        <v>2400</v>
      </c>
      <c r="DR54" s="47">
        <v>2400</v>
      </c>
      <c r="DS54" s="47">
        <v>2400</v>
      </c>
      <c r="DT54" s="48">
        <v>2400</v>
      </c>
      <c r="DU54" s="49">
        <v>2400</v>
      </c>
      <c r="DV54" s="47">
        <v>2400</v>
      </c>
      <c r="DW54" s="47">
        <v>2400</v>
      </c>
      <c r="DX54" s="47">
        <v>2400</v>
      </c>
      <c r="DY54" s="47">
        <v>2400</v>
      </c>
      <c r="DZ54" s="47">
        <v>2400</v>
      </c>
      <c r="EA54" s="47">
        <v>2400</v>
      </c>
      <c r="EB54" s="47">
        <v>2400</v>
      </c>
      <c r="EC54" s="47">
        <v>2400</v>
      </c>
      <c r="ED54" s="47">
        <v>2400</v>
      </c>
      <c r="EE54" s="47">
        <v>2400</v>
      </c>
      <c r="EF54" s="47">
        <v>2400</v>
      </c>
      <c r="EG54" s="47">
        <v>2400</v>
      </c>
      <c r="EH54" s="47">
        <v>2400</v>
      </c>
      <c r="EI54" s="47">
        <v>2400</v>
      </c>
      <c r="EJ54" s="47">
        <v>2400</v>
      </c>
      <c r="EK54" s="47">
        <v>2400</v>
      </c>
      <c r="EL54" s="47">
        <v>2400</v>
      </c>
      <c r="EM54" s="47">
        <v>2400</v>
      </c>
      <c r="EN54" s="47">
        <v>2400</v>
      </c>
      <c r="EO54" s="47">
        <v>2400</v>
      </c>
      <c r="EP54" s="47">
        <v>2400</v>
      </c>
      <c r="EQ54" s="47">
        <v>2400</v>
      </c>
      <c r="ER54" s="48">
        <v>2400</v>
      </c>
      <c r="ES54" s="49">
        <v>2400</v>
      </c>
      <c r="ET54" s="47">
        <v>2400</v>
      </c>
      <c r="EU54" s="47">
        <v>2400</v>
      </c>
      <c r="EV54" s="47">
        <v>2400</v>
      </c>
      <c r="EW54" s="47">
        <v>2400</v>
      </c>
      <c r="EX54" s="47">
        <v>2400</v>
      </c>
      <c r="EY54" s="47">
        <v>2400</v>
      </c>
      <c r="EZ54" s="47">
        <v>2400</v>
      </c>
      <c r="FA54" s="47">
        <v>2400</v>
      </c>
      <c r="FB54" s="47">
        <v>2400</v>
      </c>
      <c r="FC54" s="47">
        <v>2400</v>
      </c>
      <c r="FD54" s="47">
        <v>2400</v>
      </c>
      <c r="FE54" s="47">
        <v>2400</v>
      </c>
      <c r="FF54" s="47">
        <v>2400</v>
      </c>
      <c r="FG54" s="47">
        <v>2400</v>
      </c>
      <c r="FH54" s="47">
        <v>2400</v>
      </c>
      <c r="FI54" s="47">
        <v>2400</v>
      </c>
      <c r="FJ54" s="47">
        <v>2400</v>
      </c>
      <c r="FK54" s="47">
        <v>2400</v>
      </c>
      <c r="FL54" s="47">
        <v>2400</v>
      </c>
      <c r="FM54" s="47">
        <v>2400</v>
      </c>
      <c r="FN54" s="47">
        <v>2400</v>
      </c>
      <c r="FO54" s="47">
        <v>2400</v>
      </c>
      <c r="FP54" s="48">
        <v>2400</v>
      </c>
    </row>
    <row r="55" spans="1:172" x14ac:dyDescent="0.2">
      <c r="A55" s="38" t="s">
        <v>319</v>
      </c>
      <c r="B55" s="1" t="s">
        <v>320</v>
      </c>
      <c r="C55" s="28" t="s">
        <v>252</v>
      </c>
      <c r="D55" s="1"/>
      <c r="E55" s="47">
        <v>25000</v>
      </c>
      <c r="F55" s="47">
        <v>25000</v>
      </c>
      <c r="G55" s="47">
        <v>25000</v>
      </c>
      <c r="H55" s="47">
        <v>25000</v>
      </c>
      <c r="I55" s="47">
        <v>25000</v>
      </c>
      <c r="J55" s="47">
        <v>25000</v>
      </c>
      <c r="K55" s="47">
        <v>25000</v>
      </c>
      <c r="L55" s="47">
        <v>25000</v>
      </c>
      <c r="M55" s="47">
        <v>25000</v>
      </c>
      <c r="N55" s="47">
        <v>25000</v>
      </c>
      <c r="O55" s="47">
        <v>25000</v>
      </c>
      <c r="P55" s="47">
        <v>25000</v>
      </c>
      <c r="Q55" s="47">
        <v>25000</v>
      </c>
      <c r="R55" s="47">
        <v>25000</v>
      </c>
      <c r="S55" s="47">
        <v>25000</v>
      </c>
      <c r="T55" s="47">
        <v>25000</v>
      </c>
      <c r="U55" s="47">
        <v>25000</v>
      </c>
      <c r="V55" s="47">
        <v>25000</v>
      </c>
      <c r="W55" s="47">
        <v>25000</v>
      </c>
      <c r="X55" s="47">
        <v>25000</v>
      </c>
      <c r="Y55" s="47">
        <v>25000</v>
      </c>
      <c r="Z55" s="47">
        <v>25000</v>
      </c>
      <c r="AA55" s="47">
        <v>25000</v>
      </c>
      <c r="AB55" s="48">
        <v>25000</v>
      </c>
      <c r="AC55" s="49">
        <v>25000</v>
      </c>
      <c r="AD55" s="47">
        <v>25000</v>
      </c>
      <c r="AE55" s="47">
        <v>25000</v>
      </c>
      <c r="AF55" s="47">
        <v>25000</v>
      </c>
      <c r="AG55" s="47">
        <v>25000</v>
      </c>
      <c r="AH55" s="47">
        <v>25000</v>
      </c>
      <c r="AI55" s="47">
        <v>25000</v>
      </c>
      <c r="AJ55" s="47">
        <v>25000</v>
      </c>
      <c r="AK55" s="47">
        <v>25000</v>
      </c>
      <c r="AL55" s="47">
        <v>25000</v>
      </c>
      <c r="AM55" s="47">
        <v>25000</v>
      </c>
      <c r="AN55" s="47">
        <v>25000</v>
      </c>
      <c r="AO55" s="47">
        <v>25000</v>
      </c>
      <c r="AP55" s="47">
        <v>25000</v>
      </c>
      <c r="AQ55" s="47">
        <v>25000</v>
      </c>
      <c r="AR55" s="47">
        <v>25000</v>
      </c>
      <c r="AS55" s="47">
        <v>25000</v>
      </c>
      <c r="AT55" s="47">
        <v>25000</v>
      </c>
      <c r="AU55" s="47">
        <v>25000</v>
      </c>
      <c r="AV55" s="47">
        <v>25000</v>
      </c>
      <c r="AW55" s="47">
        <v>25000</v>
      </c>
      <c r="AX55" s="47">
        <v>25000</v>
      </c>
      <c r="AY55" s="47">
        <v>25000</v>
      </c>
      <c r="AZ55" s="48">
        <v>25000</v>
      </c>
      <c r="BA55" s="49">
        <v>25000</v>
      </c>
      <c r="BB55" s="47">
        <v>25000</v>
      </c>
      <c r="BC55" s="47">
        <v>25000</v>
      </c>
      <c r="BD55" s="47">
        <v>25000</v>
      </c>
      <c r="BE55" s="47">
        <v>25000</v>
      </c>
      <c r="BF55" s="47">
        <v>25000</v>
      </c>
      <c r="BG55" s="47">
        <v>25000</v>
      </c>
      <c r="BH55" s="47">
        <v>25000</v>
      </c>
      <c r="BI55" s="47">
        <v>25000</v>
      </c>
      <c r="BJ55" s="47">
        <v>25000</v>
      </c>
      <c r="BK55" s="47">
        <v>25000</v>
      </c>
      <c r="BL55" s="47">
        <v>25000</v>
      </c>
      <c r="BM55" s="47">
        <v>25000</v>
      </c>
      <c r="BN55" s="47">
        <v>25000</v>
      </c>
      <c r="BO55" s="47">
        <v>25000</v>
      </c>
      <c r="BP55" s="47">
        <v>25000</v>
      </c>
      <c r="BQ55" s="47">
        <v>25000</v>
      </c>
      <c r="BR55" s="47">
        <v>25000</v>
      </c>
      <c r="BS55" s="47">
        <v>25000</v>
      </c>
      <c r="BT55" s="47">
        <v>25000</v>
      </c>
      <c r="BU55" s="47">
        <v>25000</v>
      </c>
      <c r="BV55" s="47">
        <v>25000</v>
      </c>
      <c r="BW55" s="47">
        <v>25000</v>
      </c>
      <c r="BX55" s="48">
        <v>25000</v>
      </c>
      <c r="BY55" s="49">
        <v>25000</v>
      </c>
      <c r="BZ55" s="47">
        <v>25000</v>
      </c>
      <c r="CA55" s="47">
        <v>25000</v>
      </c>
      <c r="CB55" s="47">
        <v>25000</v>
      </c>
      <c r="CC55" s="47">
        <v>25000</v>
      </c>
      <c r="CD55" s="47">
        <v>25000</v>
      </c>
      <c r="CE55" s="47">
        <v>25000</v>
      </c>
      <c r="CF55" s="47">
        <v>25000</v>
      </c>
      <c r="CG55" s="47">
        <v>25000</v>
      </c>
      <c r="CH55" s="47">
        <v>25000</v>
      </c>
      <c r="CI55" s="47">
        <v>25000</v>
      </c>
      <c r="CJ55" s="47">
        <v>25000</v>
      </c>
      <c r="CK55" s="47">
        <v>25000</v>
      </c>
      <c r="CL55" s="47">
        <v>25000</v>
      </c>
      <c r="CM55" s="47">
        <v>25000</v>
      </c>
      <c r="CN55" s="47">
        <v>25000</v>
      </c>
      <c r="CO55" s="47">
        <v>25000</v>
      </c>
      <c r="CP55" s="47">
        <v>25000</v>
      </c>
      <c r="CQ55" s="47">
        <v>25000</v>
      </c>
      <c r="CR55" s="47">
        <v>25000</v>
      </c>
      <c r="CS55" s="47">
        <v>25000</v>
      </c>
      <c r="CT55" s="47">
        <v>25000</v>
      </c>
      <c r="CU55" s="47">
        <v>25000</v>
      </c>
      <c r="CV55" s="48">
        <v>25000</v>
      </c>
      <c r="CW55" s="49">
        <v>25000</v>
      </c>
      <c r="CX55" s="47">
        <v>25000</v>
      </c>
      <c r="CY55" s="47">
        <v>25000</v>
      </c>
      <c r="CZ55" s="47">
        <v>25000</v>
      </c>
      <c r="DA55" s="47">
        <v>25000</v>
      </c>
      <c r="DB55" s="47">
        <v>25000</v>
      </c>
      <c r="DC55" s="47">
        <v>25000</v>
      </c>
      <c r="DD55" s="47">
        <v>25000</v>
      </c>
      <c r="DE55" s="47">
        <v>25000</v>
      </c>
      <c r="DF55" s="47">
        <v>25000</v>
      </c>
      <c r="DG55" s="47">
        <v>25000</v>
      </c>
      <c r="DH55" s="47">
        <v>25000</v>
      </c>
      <c r="DI55" s="47">
        <v>25000</v>
      </c>
      <c r="DJ55" s="47">
        <v>25000</v>
      </c>
      <c r="DK55" s="47">
        <v>25000</v>
      </c>
      <c r="DL55" s="47">
        <v>25000</v>
      </c>
      <c r="DM55" s="47">
        <v>25000</v>
      </c>
      <c r="DN55" s="47">
        <v>25000</v>
      </c>
      <c r="DO55" s="47">
        <v>25000</v>
      </c>
      <c r="DP55" s="47">
        <v>25000</v>
      </c>
      <c r="DQ55" s="47">
        <v>25000</v>
      </c>
      <c r="DR55" s="47">
        <v>25000</v>
      </c>
      <c r="DS55" s="47">
        <v>25000</v>
      </c>
      <c r="DT55" s="48">
        <v>25000</v>
      </c>
      <c r="DU55" s="49">
        <v>25000</v>
      </c>
      <c r="DV55" s="47">
        <v>25000</v>
      </c>
      <c r="DW55" s="47">
        <v>25000</v>
      </c>
      <c r="DX55" s="47">
        <v>25000</v>
      </c>
      <c r="DY55" s="47">
        <v>25000</v>
      </c>
      <c r="DZ55" s="47">
        <v>25000</v>
      </c>
      <c r="EA55" s="47">
        <v>25000</v>
      </c>
      <c r="EB55" s="47">
        <v>25000</v>
      </c>
      <c r="EC55" s="47">
        <v>25000</v>
      </c>
      <c r="ED55" s="47">
        <v>25000</v>
      </c>
      <c r="EE55" s="47">
        <v>25000</v>
      </c>
      <c r="EF55" s="47">
        <v>25000</v>
      </c>
      <c r="EG55" s="47">
        <v>25000</v>
      </c>
      <c r="EH55" s="47">
        <v>25000</v>
      </c>
      <c r="EI55" s="47">
        <v>25000</v>
      </c>
      <c r="EJ55" s="47">
        <v>25000</v>
      </c>
      <c r="EK55" s="47">
        <v>25000</v>
      </c>
      <c r="EL55" s="47">
        <v>25000</v>
      </c>
      <c r="EM55" s="47">
        <v>25000</v>
      </c>
      <c r="EN55" s="47">
        <v>25000</v>
      </c>
      <c r="EO55" s="47">
        <v>25000</v>
      </c>
      <c r="EP55" s="47">
        <v>25000</v>
      </c>
      <c r="EQ55" s="47">
        <v>25000</v>
      </c>
      <c r="ER55" s="48">
        <v>25000</v>
      </c>
      <c r="ES55" s="49">
        <v>25000</v>
      </c>
      <c r="ET55" s="47">
        <v>25000</v>
      </c>
      <c r="EU55" s="47">
        <v>25000</v>
      </c>
      <c r="EV55" s="47">
        <v>25000</v>
      </c>
      <c r="EW55" s="47">
        <v>25000</v>
      </c>
      <c r="EX55" s="47">
        <v>25000</v>
      </c>
      <c r="EY55" s="47">
        <v>25000</v>
      </c>
      <c r="EZ55" s="47">
        <v>25000</v>
      </c>
      <c r="FA55" s="47">
        <v>25000</v>
      </c>
      <c r="FB55" s="47">
        <v>25000</v>
      </c>
      <c r="FC55" s="47">
        <v>25000</v>
      </c>
      <c r="FD55" s="47">
        <v>25000</v>
      </c>
      <c r="FE55" s="47">
        <v>25000</v>
      </c>
      <c r="FF55" s="47">
        <v>25000</v>
      </c>
      <c r="FG55" s="47">
        <v>25000</v>
      </c>
      <c r="FH55" s="47">
        <v>25000</v>
      </c>
      <c r="FI55" s="47">
        <v>25000</v>
      </c>
      <c r="FJ55" s="47">
        <v>25000</v>
      </c>
      <c r="FK55" s="47">
        <v>25000</v>
      </c>
      <c r="FL55" s="47">
        <v>25000</v>
      </c>
      <c r="FM55" s="47">
        <v>25000</v>
      </c>
      <c r="FN55" s="47">
        <v>25000</v>
      </c>
      <c r="FO55" s="47">
        <v>25000</v>
      </c>
      <c r="FP55" s="48">
        <v>25000</v>
      </c>
    </row>
    <row r="56" spans="1:172" x14ac:dyDescent="0.2">
      <c r="A56" s="53" t="s">
        <v>321</v>
      </c>
      <c r="B56" s="1" t="s">
        <v>322</v>
      </c>
      <c r="C56" s="28" t="s">
        <v>252</v>
      </c>
      <c r="D56" s="24" t="b">
        <v>0</v>
      </c>
      <c r="E56" s="29" t="s">
        <v>411</v>
      </c>
    </row>
    <row r="57" spans="1:172" ht="16" thickBot="1" x14ac:dyDescent="0.25">
      <c r="A57" s="35" t="s">
        <v>323</v>
      </c>
      <c r="B57" s="1" t="s">
        <v>324</v>
      </c>
      <c r="C57" s="1"/>
      <c r="D57" s="24" t="b">
        <v>1</v>
      </c>
    </row>
    <row r="58" spans="1:172" x14ac:dyDescent="0.2">
      <c r="A58" s="38" t="s">
        <v>325</v>
      </c>
      <c r="B58" s="1" t="s">
        <v>326</v>
      </c>
      <c r="C58" s="28" t="s">
        <v>252</v>
      </c>
      <c r="D58" s="28">
        <v>4000</v>
      </c>
    </row>
    <row r="59" spans="1:172" x14ac:dyDescent="0.2">
      <c r="A59" s="38" t="s">
        <v>327</v>
      </c>
      <c r="B59" s="1" t="s">
        <v>328</v>
      </c>
      <c r="C59" s="28" t="s">
        <v>252</v>
      </c>
      <c r="D59" s="28">
        <v>2500</v>
      </c>
    </row>
    <row r="60" spans="1:172" x14ac:dyDescent="0.2">
      <c r="A60" s="38" t="s">
        <v>329</v>
      </c>
      <c r="B60" s="1" t="s">
        <v>330</v>
      </c>
      <c r="C60" s="28" t="s">
        <v>252</v>
      </c>
      <c r="D60" s="1"/>
      <c r="E60" s="47">
        <v>5000</v>
      </c>
      <c r="F60" s="47">
        <v>5000</v>
      </c>
      <c r="G60" s="47">
        <v>5000</v>
      </c>
      <c r="H60" s="47">
        <v>5000</v>
      </c>
      <c r="I60" s="47">
        <v>5000</v>
      </c>
      <c r="J60" s="47">
        <v>5000</v>
      </c>
      <c r="K60" s="47">
        <v>5000</v>
      </c>
      <c r="L60" s="47">
        <v>8000</v>
      </c>
      <c r="M60" s="47">
        <v>8000</v>
      </c>
      <c r="N60" s="47">
        <v>8000</v>
      </c>
      <c r="O60" s="47">
        <v>8000</v>
      </c>
      <c r="P60" s="47">
        <v>8000</v>
      </c>
      <c r="Q60" s="47">
        <v>8000</v>
      </c>
      <c r="R60" s="47">
        <v>8000</v>
      </c>
      <c r="S60" s="47">
        <v>8000</v>
      </c>
      <c r="T60" s="47">
        <v>8000</v>
      </c>
      <c r="U60" s="47">
        <v>8000</v>
      </c>
      <c r="V60" s="47">
        <v>8000</v>
      </c>
      <c r="W60" s="47">
        <v>8000</v>
      </c>
      <c r="X60" s="47">
        <v>5000</v>
      </c>
      <c r="Y60" s="47">
        <v>5000</v>
      </c>
      <c r="Z60" s="47">
        <v>5000</v>
      </c>
      <c r="AA60" s="47">
        <v>5000</v>
      </c>
      <c r="AB60" s="48">
        <v>5000</v>
      </c>
      <c r="AC60" s="49">
        <v>5000</v>
      </c>
      <c r="AD60" s="47">
        <v>5000</v>
      </c>
      <c r="AE60" s="47">
        <v>5000</v>
      </c>
      <c r="AF60" s="47">
        <v>5000</v>
      </c>
      <c r="AG60" s="47">
        <v>5000</v>
      </c>
      <c r="AH60" s="47">
        <v>5000</v>
      </c>
      <c r="AI60" s="47">
        <v>5000</v>
      </c>
      <c r="AJ60" s="47">
        <v>8000</v>
      </c>
      <c r="AK60" s="47">
        <v>8000</v>
      </c>
      <c r="AL60" s="47">
        <v>8000</v>
      </c>
      <c r="AM60" s="47">
        <v>8000</v>
      </c>
      <c r="AN60" s="47">
        <v>8000</v>
      </c>
      <c r="AO60" s="47">
        <v>8000</v>
      </c>
      <c r="AP60" s="47">
        <v>8000</v>
      </c>
      <c r="AQ60" s="47">
        <v>8000</v>
      </c>
      <c r="AR60" s="47">
        <v>8000</v>
      </c>
      <c r="AS60" s="47">
        <v>8000</v>
      </c>
      <c r="AT60" s="47">
        <v>8000</v>
      </c>
      <c r="AU60" s="47">
        <v>8000</v>
      </c>
      <c r="AV60" s="47">
        <v>5000</v>
      </c>
      <c r="AW60" s="47">
        <v>5000</v>
      </c>
      <c r="AX60" s="47">
        <v>5000</v>
      </c>
      <c r="AY60" s="47">
        <v>5000</v>
      </c>
      <c r="AZ60" s="48">
        <v>5000</v>
      </c>
      <c r="BA60" s="49">
        <v>5000</v>
      </c>
      <c r="BB60" s="47">
        <v>5000</v>
      </c>
      <c r="BC60" s="47">
        <v>5000</v>
      </c>
      <c r="BD60" s="47">
        <v>5000</v>
      </c>
      <c r="BE60" s="47">
        <v>5000</v>
      </c>
      <c r="BF60" s="47">
        <v>5000</v>
      </c>
      <c r="BG60" s="47">
        <v>5000</v>
      </c>
      <c r="BH60" s="47">
        <v>8000</v>
      </c>
      <c r="BI60" s="47">
        <v>8000</v>
      </c>
      <c r="BJ60" s="47">
        <v>8000</v>
      </c>
      <c r="BK60" s="47">
        <v>8000</v>
      </c>
      <c r="BL60" s="47">
        <v>8000</v>
      </c>
      <c r="BM60" s="47">
        <v>8000</v>
      </c>
      <c r="BN60" s="47">
        <v>8000</v>
      </c>
      <c r="BO60" s="47">
        <v>8000</v>
      </c>
      <c r="BP60" s="47">
        <v>8000</v>
      </c>
      <c r="BQ60" s="47">
        <v>8000</v>
      </c>
      <c r="BR60" s="47">
        <v>8000</v>
      </c>
      <c r="BS60" s="47">
        <v>8000</v>
      </c>
      <c r="BT60" s="47">
        <v>5000</v>
      </c>
      <c r="BU60" s="47">
        <v>5000</v>
      </c>
      <c r="BV60" s="47">
        <v>5000</v>
      </c>
      <c r="BW60" s="47">
        <v>5000</v>
      </c>
      <c r="BX60" s="48">
        <v>5000</v>
      </c>
      <c r="BY60" s="49">
        <v>5000</v>
      </c>
      <c r="BZ60" s="47">
        <v>5000</v>
      </c>
      <c r="CA60" s="47">
        <v>5000</v>
      </c>
      <c r="CB60" s="47">
        <v>5000</v>
      </c>
      <c r="CC60" s="47">
        <v>5000</v>
      </c>
      <c r="CD60" s="47">
        <v>5000</v>
      </c>
      <c r="CE60" s="47">
        <v>5000</v>
      </c>
      <c r="CF60" s="47">
        <v>8000</v>
      </c>
      <c r="CG60" s="47">
        <v>8000</v>
      </c>
      <c r="CH60" s="47">
        <v>8000</v>
      </c>
      <c r="CI60" s="47">
        <v>8000</v>
      </c>
      <c r="CJ60" s="47">
        <v>8000</v>
      </c>
      <c r="CK60" s="47">
        <v>8000</v>
      </c>
      <c r="CL60" s="47">
        <v>8000</v>
      </c>
      <c r="CM60" s="47">
        <v>8000</v>
      </c>
      <c r="CN60" s="47">
        <v>8000</v>
      </c>
      <c r="CO60" s="47">
        <v>8000</v>
      </c>
      <c r="CP60" s="47">
        <v>8000</v>
      </c>
      <c r="CQ60" s="47">
        <v>8000</v>
      </c>
      <c r="CR60" s="47">
        <v>5000</v>
      </c>
      <c r="CS60" s="47">
        <v>5000</v>
      </c>
      <c r="CT60" s="47">
        <v>5000</v>
      </c>
      <c r="CU60" s="47">
        <v>5000</v>
      </c>
      <c r="CV60" s="48">
        <v>5000</v>
      </c>
      <c r="CW60" s="49">
        <v>5000</v>
      </c>
      <c r="CX60" s="47">
        <v>5000</v>
      </c>
      <c r="CY60" s="47">
        <v>5000</v>
      </c>
      <c r="CZ60" s="47">
        <v>5000</v>
      </c>
      <c r="DA60" s="47">
        <v>5000</v>
      </c>
      <c r="DB60" s="47">
        <v>5000</v>
      </c>
      <c r="DC60" s="47">
        <v>5000</v>
      </c>
      <c r="DD60" s="47">
        <v>8000</v>
      </c>
      <c r="DE60" s="47">
        <v>8000</v>
      </c>
      <c r="DF60" s="47">
        <v>8000</v>
      </c>
      <c r="DG60" s="47">
        <v>8000</v>
      </c>
      <c r="DH60" s="47">
        <v>8000</v>
      </c>
      <c r="DI60" s="47">
        <v>8000</v>
      </c>
      <c r="DJ60" s="47">
        <v>8000</v>
      </c>
      <c r="DK60" s="47">
        <v>8000</v>
      </c>
      <c r="DL60" s="47">
        <v>8000</v>
      </c>
      <c r="DM60" s="47">
        <v>8000</v>
      </c>
      <c r="DN60" s="47">
        <v>8000</v>
      </c>
      <c r="DO60" s="47">
        <v>8000</v>
      </c>
      <c r="DP60" s="47">
        <v>5000</v>
      </c>
      <c r="DQ60" s="47">
        <v>5000</v>
      </c>
      <c r="DR60" s="47">
        <v>5000</v>
      </c>
      <c r="DS60" s="47">
        <v>5000</v>
      </c>
      <c r="DT60" s="48">
        <v>5000</v>
      </c>
      <c r="DU60" s="49">
        <v>5000</v>
      </c>
      <c r="DV60" s="47">
        <v>5000</v>
      </c>
      <c r="DW60" s="47">
        <v>5000</v>
      </c>
      <c r="DX60" s="47">
        <v>5000</v>
      </c>
      <c r="DY60" s="47">
        <v>5000</v>
      </c>
      <c r="DZ60" s="47">
        <v>5000</v>
      </c>
      <c r="EA60" s="47">
        <v>5000</v>
      </c>
      <c r="EB60" s="47">
        <v>8000</v>
      </c>
      <c r="EC60" s="47">
        <v>8000</v>
      </c>
      <c r="ED60" s="47">
        <v>8000</v>
      </c>
      <c r="EE60" s="47">
        <v>8000</v>
      </c>
      <c r="EF60" s="47">
        <v>8000</v>
      </c>
      <c r="EG60" s="47">
        <v>8000</v>
      </c>
      <c r="EH60" s="47">
        <v>8000</v>
      </c>
      <c r="EI60" s="47">
        <v>8000</v>
      </c>
      <c r="EJ60" s="47">
        <v>8000</v>
      </c>
      <c r="EK60" s="47">
        <v>8000</v>
      </c>
      <c r="EL60" s="47">
        <v>8000</v>
      </c>
      <c r="EM60" s="47">
        <v>8000</v>
      </c>
      <c r="EN60" s="47">
        <v>5000</v>
      </c>
      <c r="EO60" s="47">
        <v>5000</v>
      </c>
      <c r="EP60" s="47">
        <v>5000</v>
      </c>
      <c r="EQ60" s="47">
        <v>5000</v>
      </c>
      <c r="ER60" s="48">
        <v>5000</v>
      </c>
      <c r="ES60" s="49">
        <v>5000</v>
      </c>
      <c r="ET60" s="47">
        <v>5000</v>
      </c>
      <c r="EU60" s="47">
        <v>5000</v>
      </c>
      <c r="EV60" s="47">
        <v>5000</v>
      </c>
      <c r="EW60" s="47">
        <v>5000</v>
      </c>
      <c r="EX60" s="47">
        <v>5000</v>
      </c>
      <c r="EY60" s="47">
        <v>5000</v>
      </c>
      <c r="EZ60" s="47">
        <v>8000</v>
      </c>
      <c r="FA60" s="47">
        <v>8000</v>
      </c>
      <c r="FB60" s="47">
        <v>8000</v>
      </c>
      <c r="FC60" s="47">
        <v>8000</v>
      </c>
      <c r="FD60" s="47">
        <v>8000</v>
      </c>
      <c r="FE60" s="47">
        <v>8000</v>
      </c>
      <c r="FF60" s="47">
        <v>8000</v>
      </c>
      <c r="FG60" s="47">
        <v>8000</v>
      </c>
      <c r="FH60" s="47">
        <v>8000</v>
      </c>
      <c r="FI60" s="47">
        <v>8000</v>
      </c>
      <c r="FJ60" s="47">
        <v>8000</v>
      </c>
      <c r="FK60" s="47">
        <v>8000</v>
      </c>
      <c r="FL60" s="47">
        <v>5000</v>
      </c>
      <c r="FM60" s="47">
        <v>5000</v>
      </c>
      <c r="FN60" s="47">
        <v>5000</v>
      </c>
      <c r="FO60" s="47">
        <v>5000</v>
      </c>
      <c r="FP60" s="48">
        <v>5000</v>
      </c>
    </row>
    <row r="61" spans="1:172" x14ac:dyDescent="0.2">
      <c r="A61" s="38" t="s">
        <v>331</v>
      </c>
      <c r="B61" s="1" t="s">
        <v>332</v>
      </c>
      <c r="C61" s="28" t="s">
        <v>252</v>
      </c>
      <c r="D61" s="1"/>
      <c r="E61" s="47">
        <v>25000</v>
      </c>
      <c r="F61" s="47">
        <v>25000</v>
      </c>
      <c r="G61" s="47">
        <v>25000</v>
      </c>
      <c r="H61" s="47">
        <v>25000</v>
      </c>
      <c r="I61" s="47">
        <v>25000</v>
      </c>
      <c r="J61" s="47">
        <v>25000</v>
      </c>
      <c r="K61" s="47">
        <v>25000</v>
      </c>
      <c r="L61" s="47">
        <v>25000</v>
      </c>
      <c r="M61" s="47">
        <v>25000</v>
      </c>
      <c r="N61" s="47">
        <v>25000</v>
      </c>
      <c r="O61" s="47">
        <v>25000</v>
      </c>
      <c r="P61" s="47">
        <v>25000</v>
      </c>
      <c r="Q61" s="47">
        <v>25000</v>
      </c>
      <c r="R61" s="47">
        <v>25000</v>
      </c>
      <c r="S61" s="47">
        <v>25000</v>
      </c>
      <c r="T61" s="47">
        <v>25000</v>
      </c>
      <c r="U61" s="47">
        <v>25000</v>
      </c>
      <c r="V61" s="47">
        <v>25000</v>
      </c>
      <c r="W61" s="47">
        <v>25000</v>
      </c>
      <c r="X61" s="47">
        <v>25000</v>
      </c>
      <c r="Y61" s="47">
        <v>25000</v>
      </c>
      <c r="Z61" s="47">
        <v>25000</v>
      </c>
      <c r="AA61" s="47">
        <v>25000</v>
      </c>
      <c r="AB61" s="48">
        <v>25000</v>
      </c>
      <c r="AC61" s="49">
        <v>25000</v>
      </c>
      <c r="AD61" s="47">
        <v>25000</v>
      </c>
      <c r="AE61" s="47">
        <v>25000</v>
      </c>
      <c r="AF61" s="47">
        <v>25000</v>
      </c>
      <c r="AG61" s="47">
        <v>25000</v>
      </c>
      <c r="AH61" s="47">
        <v>25000</v>
      </c>
      <c r="AI61" s="47">
        <v>25000</v>
      </c>
      <c r="AJ61" s="47">
        <v>25000</v>
      </c>
      <c r="AK61" s="47">
        <v>25000</v>
      </c>
      <c r="AL61" s="47">
        <v>25000</v>
      </c>
      <c r="AM61" s="47">
        <v>25000</v>
      </c>
      <c r="AN61" s="47">
        <v>25000</v>
      </c>
      <c r="AO61" s="47">
        <v>25000</v>
      </c>
      <c r="AP61" s="47">
        <v>25000</v>
      </c>
      <c r="AQ61" s="47">
        <v>25000</v>
      </c>
      <c r="AR61" s="47">
        <v>25000</v>
      </c>
      <c r="AS61" s="47">
        <v>25000</v>
      </c>
      <c r="AT61" s="47">
        <v>25000</v>
      </c>
      <c r="AU61" s="47">
        <v>25000</v>
      </c>
      <c r="AV61" s="47">
        <v>25000</v>
      </c>
      <c r="AW61" s="47">
        <v>25000</v>
      </c>
      <c r="AX61" s="47">
        <v>25000</v>
      </c>
      <c r="AY61" s="47">
        <v>25000</v>
      </c>
      <c r="AZ61" s="48">
        <v>25000</v>
      </c>
      <c r="BA61" s="49">
        <v>25000</v>
      </c>
      <c r="BB61" s="47">
        <v>25000</v>
      </c>
      <c r="BC61" s="47">
        <v>25000</v>
      </c>
      <c r="BD61" s="47">
        <v>25000</v>
      </c>
      <c r="BE61" s="47">
        <v>25000</v>
      </c>
      <c r="BF61" s="47">
        <v>25000</v>
      </c>
      <c r="BG61" s="47">
        <v>25000</v>
      </c>
      <c r="BH61" s="47">
        <v>25000</v>
      </c>
      <c r="BI61" s="47">
        <v>25000</v>
      </c>
      <c r="BJ61" s="47">
        <v>25000</v>
      </c>
      <c r="BK61" s="47">
        <v>25000</v>
      </c>
      <c r="BL61" s="47">
        <v>25000</v>
      </c>
      <c r="BM61" s="47">
        <v>25000</v>
      </c>
      <c r="BN61" s="47">
        <v>25000</v>
      </c>
      <c r="BO61" s="47">
        <v>25000</v>
      </c>
      <c r="BP61" s="47">
        <v>25000</v>
      </c>
      <c r="BQ61" s="47">
        <v>25000</v>
      </c>
      <c r="BR61" s="47">
        <v>25000</v>
      </c>
      <c r="BS61" s="47">
        <v>25000</v>
      </c>
      <c r="BT61" s="47">
        <v>25000</v>
      </c>
      <c r="BU61" s="47">
        <v>25000</v>
      </c>
      <c r="BV61" s="47">
        <v>25000</v>
      </c>
      <c r="BW61" s="47">
        <v>25000</v>
      </c>
      <c r="BX61" s="48">
        <v>25000</v>
      </c>
      <c r="BY61" s="49">
        <v>25000</v>
      </c>
      <c r="BZ61" s="47">
        <v>25000</v>
      </c>
      <c r="CA61" s="47">
        <v>25000</v>
      </c>
      <c r="CB61" s="47">
        <v>25000</v>
      </c>
      <c r="CC61" s="47">
        <v>25000</v>
      </c>
      <c r="CD61" s="47">
        <v>25000</v>
      </c>
      <c r="CE61" s="47">
        <v>25000</v>
      </c>
      <c r="CF61" s="47">
        <v>25000</v>
      </c>
      <c r="CG61" s="47">
        <v>25000</v>
      </c>
      <c r="CH61" s="47">
        <v>25000</v>
      </c>
      <c r="CI61" s="47">
        <v>25000</v>
      </c>
      <c r="CJ61" s="47">
        <v>25000</v>
      </c>
      <c r="CK61" s="47">
        <v>25000</v>
      </c>
      <c r="CL61" s="47">
        <v>25000</v>
      </c>
      <c r="CM61" s="47">
        <v>25000</v>
      </c>
      <c r="CN61" s="47">
        <v>25000</v>
      </c>
      <c r="CO61" s="47">
        <v>25000</v>
      </c>
      <c r="CP61" s="47">
        <v>25000</v>
      </c>
      <c r="CQ61" s="47">
        <v>25000</v>
      </c>
      <c r="CR61" s="47">
        <v>25000</v>
      </c>
      <c r="CS61" s="47">
        <v>25000</v>
      </c>
      <c r="CT61" s="47">
        <v>25000</v>
      </c>
      <c r="CU61" s="47">
        <v>25000</v>
      </c>
      <c r="CV61" s="48">
        <v>25000</v>
      </c>
      <c r="CW61" s="49">
        <v>25000</v>
      </c>
      <c r="CX61" s="47">
        <v>25000</v>
      </c>
      <c r="CY61" s="47">
        <v>25000</v>
      </c>
      <c r="CZ61" s="47">
        <v>25000</v>
      </c>
      <c r="DA61" s="47">
        <v>25000</v>
      </c>
      <c r="DB61" s="47">
        <v>25000</v>
      </c>
      <c r="DC61" s="47">
        <v>25000</v>
      </c>
      <c r="DD61" s="47">
        <v>25000</v>
      </c>
      <c r="DE61" s="47">
        <v>25000</v>
      </c>
      <c r="DF61" s="47">
        <v>25000</v>
      </c>
      <c r="DG61" s="47">
        <v>25000</v>
      </c>
      <c r="DH61" s="47">
        <v>25000</v>
      </c>
      <c r="DI61" s="47">
        <v>25000</v>
      </c>
      <c r="DJ61" s="47">
        <v>25000</v>
      </c>
      <c r="DK61" s="47">
        <v>25000</v>
      </c>
      <c r="DL61" s="47">
        <v>25000</v>
      </c>
      <c r="DM61" s="47">
        <v>25000</v>
      </c>
      <c r="DN61" s="47">
        <v>25000</v>
      </c>
      <c r="DO61" s="47">
        <v>25000</v>
      </c>
      <c r="DP61" s="47">
        <v>25000</v>
      </c>
      <c r="DQ61" s="47">
        <v>25000</v>
      </c>
      <c r="DR61" s="47">
        <v>25000</v>
      </c>
      <c r="DS61" s="47">
        <v>25000</v>
      </c>
      <c r="DT61" s="48">
        <v>25000</v>
      </c>
      <c r="DU61" s="49">
        <v>25000</v>
      </c>
      <c r="DV61" s="47">
        <v>25000</v>
      </c>
      <c r="DW61" s="47">
        <v>25000</v>
      </c>
      <c r="DX61" s="47">
        <v>25000</v>
      </c>
      <c r="DY61" s="47">
        <v>25000</v>
      </c>
      <c r="DZ61" s="47">
        <v>25000</v>
      </c>
      <c r="EA61" s="47">
        <v>25000</v>
      </c>
      <c r="EB61" s="47">
        <v>25000</v>
      </c>
      <c r="EC61" s="47">
        <v>25000</v>
      </c>
      <c r="ED61" s="47">
        <v>25000</v>
      </c>
      <c r="EE61" s="47">
        <v>25000</v>
      </c>
      <c r="EF61" s="47">
        <v>25000</v>
      </c>
      <c r="EG61" s="47">
        <v>25000</v>
      </c>
      <c r="EH61" s="47">
        <v>25000</v>
      </c>
      <c r="EI61" s="47">
        <v>25000</v>
      </c>
      <c r="EJ61" s="47">
        <v>25000</v>
      </c>
      <c r="EK61" s="47">
        <v>25000</v>
      </c>
      <c r="EL61" s="47">
        <v>25000</v>
      </c>
      <c r="EM61" s="47">
        <v>25000</v>
      </c>
      <c r="EN61" s="47">
        <v>25000</v>
      </c>
      <c r="EO61" s="47">
        <v>25000</v>
      </c>
      <c r="EP61" s="47">
        <v>25000</v>
      </c>
      <c r="EQ61" s="47">
        <v>25000</v>
      </c>
      <c r="ER61" s="48">
        <v>25000</v>
      </c>
      <c r="ES61" s="49">
        <v>25000</v>
      </c>
      <c r="ET61" s="47">
        <v>25000</v>
      </c>
      <c r="EU61" s="47">
        <v>25000</v>
      </c>
      <c r="EV61" s="47">
        <v>25000</v>
      </c>
      <c r="EW61" s="47">
        <v>25000</v>
      </c>
      <c r="EX61" s="47">
        <v>25000</v>
      </c>
      <c r="EY61" s="47">
        <v>25000</v>
      </c>
      <c r="EZ61" s="47">
        <v>25000</v>
      </c>
      <c r="FA61" s="47">
        <v>25000</v>
      </c>
      <c r="FB61" s="47">
        <v>25000</v>
      </c>
      <c r="FC61" s="47">
        <v>25000</v>
      </c>
      <c r="FD61" s="47">
        <v>25000</v>
      </c>
      <c r="FE61" s="47">
        <v>25000</v>
      </c>
      <c r="FF61" s="47">
        <v>25000</v>
      </c>
      <c r="FG61" s="47">
        <v>25000</v>
      </c>
      <c r="FH61" s="47">
        <v>25000</v>
      </c>
      <c r="FI61" s="47">
        <v>25000</v>
      </c>
      <c r="FJ61" s="47">
        <v>25000</v>
      </c>
      <c r="FK61" s="47">
        <v>25000</v>
      </c>
      <c r="FL61" s="47">
        <v>25000</v>
      </c>
      <c r="FM61" s="47">
        <v>25000</v>
      </c>
      <c r="FN61" s="47">
        <v>25000</v>
      </c>
      <c r="FO61" s="47">
        <v>25000</v>
      </c>
      <c r="FP61" s="48">
        <v>25000</v>
      </c>
    </row>
    <row r="62" spans="1:172" x14ac:dyDescent="0.2">
      <c r="A62" s="53" t="s">
        <v>333</v>
      </c>
      <c r="B62" s="1" t="s">
        <v>334</v>
      </c>
      <c r="C62" s="28" t="s">
        <v>252</v>
      </c>
      <c r="D62" s="24" t="b">
        <v>0</v>
      </c>
      <c r="E62" s="29" t="s">
        <v>411</v>
      </c>
    </row>
    <row r="63" spans="1:172" ht="16" thickBot="1" x14ac:dyDescent="0.25">
      <c r="A63" s="35" t="s">
        <v>335</v>
      </c>
      <c r="B63" s="1" t="s">
        <v>336</v>
      </c>
      <c r="C63" s="1"/>
      <c r="D63" s="24" t="b">
        <v>0</v>
      </c>
    </row>
    <row r="64" spans="1:172" x14ac:dyDescent="0.2">
      <c r="A64" s="38" t="s">
        <v>337</v>
      </c>
      <c r="B64" s="1" t="s">
        <v>338</v>
      </c>
      <c r="C64" s="28" t="s">
        <v>255</v>
      </c>
      <c r="D64" s="28">
        <v>15000</v>
      </c>
    </row>
    <row r="65" spans="1:172" x14ac:dyDescent="0.2">
      <c r="A65" s="38" t="s">
        <v>339</v>
      </c>
      <c r="B65" s="1" t="s">
        <v>340</v>
      </c>
      <c r="C65" s="28" t="s">
        <v>255</v>
      </c>
      <c r="D65" s="28">
        <v>15000</v>
      </c>
    </row>
    <row r="66" spans="1:172" x14ac:dyDescent="0.2">
      <c r="A66" s="38" t="s">
        <v>341</v>
      </c>
      <c r="B66" s="1" t="s">
        <v>342</v>
      </c>
      <c r="C66" s="28" t="s">
        <v>255</v>
      </c>
      <c r="D66" s="1"/>
      <c r="E66" s="47">
        <v>5000</v>
      </c>
      <c r="F66" s="47">
        <v>5000</v>
      </c>
      <c r="G66" s="47">
        <v>5000</v>
      </c>
      <c r="H66" s="47">
        <v>5000</v>
      </c>
      <c r="I66" s="47">
        <v>5000</v>
      </c>
      <c r="J66" s="47">
        <v>5000</v>
      </c>
      <c r="K66" s="47">
        <v>5000</v>
      </c>
      <c r="L66" s="47">
        <v>8000</v>
      </c>
      <c r="M66" s="47">
        <v>8000</v>
      </c>
      <c r="N66" s="47">
        <v>8000</v>
      </c>
      <c r="O66" s="47">
        <v>8000</v>
      </c>
      <c r="P66" s="47">
        <v>8000</v>
      </c>
      <c r="Q66" s="47">
        <v>8000</v>
      </c>
      <c r="R66" s="47">
        <v>8000</v>
      </c>
      <c r="S66" s="47">
        <v>8000</v>
      </c>
      <c r="T66" s="47">
        <v>8000</v>
      </c>
      <c r="U66" s="47">
        <v>8000</v>
      </c>
      <c r="V66" s="47">
        <v>8000</v>
      </c>
      <c r="W66" s="47">
        <v>8000</v>
      </c>
      <c r="X66" s="47">
        <v>5000</v>
      </c>
      <c r="Y66" s="47">
        <v>5000</v>
      </c>
      <c r="Z66" s="47">
        <v>5000</v>
      </c>
      <c r="AA66" s="47">
        <v>5000</v>
      </c>
      <c r="AB66" s="48">
        <v>5000</v>
      </c>
      <c r="AC66" s="49">
        <v>5000</v>
      </c>
      <c r="AD66" s="47">
        <v>5000</v>
      </c>
      <c r="AE66" s="47">
        <v>5000</v>
      </c>
      <c r="AF66" s="47">
        <v>5000</v>
      </c>
      <c r="AG66" s="47">
        <v>5000</v>
      </c>
      <c r="AH66" s="47">
        <v>5000</v>
      </c>
      <c r="AI66" s="47">
        <v>5000</v>
      </c>
      <c r="AJ66" s="47">
        <v>8000</v>
      </c>
      <c r="AK66" s="47">
        <v>8000</v>
      </c>
      <c r="AL66" s="47">
        <v>8000</v>
      </c>
      <c r="AM66" s="47">
        <v>8000</v>
      </c>
      <c r="AN66" s="47">
        <v>8000</v>
      </c>
      <c r="AO66" s="47">
        <v>8000</v>
      </c>
      <c r="AP66" s="47">
        <v>8000</v>
      </c>
      <c r="AQ66" s="47">
        <v>8000</v>
      </c>
      <c r="AR66" s="47">
        <v>8000</v>
      </c>
      <c r="AS66" s="47">
        <v>8000</v>
      </c>
      <c r="AT66" s="47">
        <v>8000</v>
      </c>
      <c r="AU66" s="47">
        <v>8000</v>
      </c>
      <c r="AV66" s="47">
        <v>5000</v>
      </c>
      <c r="AW66" s="47">
        <v>5000</v>
      </c>
      <c r="AX66" s="47">
        <v>5000</v>
      </c>
      <c r="AY66" s="47">
        <v>5000</v>
      </c>
      <c r="AZ66" s="48">
        <v>5000</v>
      </c>
      <c r="BA66" s="49">
        <v>5000</v>
      </c>
      <c r="BB66" s="47">
        <v>5000</v>
      </c>
      <c r="BC66" s="47">
        <v>5000</v>
      </c>
      <c r="BD66" s="47">
        <v>5000</v>
      </c>
      <c r="BE66" s="47">
        <v>5000</v>
      </c>
      <c r="BF66" s="47">
        <v>5000</v>
      </c>
      <c r="BG66" s="47">
        <v>5000</v>
      </c>
      <c r="BH66" s="47">
        <v>8000</v>
      </c>
      <c r="BI66" s="47">
        <v>8000</v>
      </c>
      <c r="BJ66" s="47">
        <v>8000</v>
      </c>
      <c r="BK66" s="47">
        <v>8000</v>
      </c>
      <c r="BL66" s="47">
        <v>8000</v>
      </c>
      <c r="BM66" s="47">
        <v>8000</v>
      </c>
      <c r="BN66" s="47">
        <v>8000</v>
      </c>
      <c r="BO66" s="47">
        <v>8000</v>
      </c>
      <c r="BP66" s="47">
        <v>8000</v>
      </c>
      <c r="BQ66" s="47">
        <v>8000</v>
      </c>
      <c r="BR66" s="47">
        <v>8000</v>
      </c>
      <c r="BS66" s="47">
        <v>8000</v>
      </c>
      <c r="BT66" s="47">
        <v>5000</v>
      </c>
      <c r="BU66" s="47">
        <v>5000</v>
      </c>
      <c r="BV66" s="47">
        <v>5000</v>
      </c>
      <c r="BW66" s="47">
        <v>5000</v>
      </c>
      <c r="BX66" s="48">
        <v>5000</v>
      </c>
      <c r="BY66" s="49">
        <v>5000</v>
      </c>
      <c r="BZ66" s="47">
        <v>5000</v>
      </c>
      <c r="CA66" s="47">
        <v>5000</v>
      </c>
      <c r="CB66" s="47">
        <v>5000</v>
      </c>
      <c r="CC66" s="47">
        <v>5000</v>
      </c>
      <c r="CD66" s="47">
        <v>5000</v>
      </c>
      <c r="CE66" s="47">
        <v>5000</v>
      </c>
      <c r="CF66" s="47">
        <v>8000</v>
      </c>
      <c r="CG66" s="47">
        <v>8000</v>
      </c>
      <c r="CH66" s="47">
        <v>8000</v>
      </c>
      <c r="CI66" s="47">
        <v>8000</v>
      </c>
      <c r="CJ66" s="47">
        <v>8000</v>
      </c>
      <c r="CK66" s="47">
        <v>8000</v>
      </c>
      <c r="CL66" s="47">
        <v>8000</v>
      </c>
      <c r="CM66" s="47">
        <v>8000</v>
      </c>
      <c r="CN66" s="47">
        <v>8000</v>
      </c>
      <c r="CO66" s="47">
        <v>8000</v>
      </c>
      <c r="CP66" s="47">
        <v>8000</v>
      </c>
      <c r="CQ66" s="47">
        <v>8000</v>
      </c>
      <c r="CR66" s="47">
        <v>5000</v>
      </c>
      <c r="CS66" s="47">
        <v>5000</v>
      </c>
      <c r="CT66" s="47">
        <v>5000</v>
      </c>
      <c r="CU66" s="47">
        <v>5000</v>
      </c>
      <c r="CV66" s="48">
        <v>5000</v>
      </c>
      <c r="CW66" s="49">
        <v>5000</v>
      </c>
      <c r="CX66" s="47">
        <v>5000</v>
      </c>
      <c r="CY66" s="47">
        <v>5000</v>
      </c>
      <c r="CZ66" s="47">
        <v>5000</v>
      </c>
      <c r="DA66" s="47">
        <v>5000</v>
      </c>
      <c r="DB66" s="47">
        <v>5000</v>
      </c>
      <c r="DC66" s="47">
        <v>5000</v>
      </c>
      <c r="DD66" s="47">
        <v>8000</v>
      </c>
      <c r="DE66" s="47">
        <v>8000</v>
      </c>
      <c r="DF66" s="47">
        <v>8000</v>
      </c>
      <c r="DG66" s="47">
        <v>8000</v>
      </c>
      <c r="DH66" s="47">
        <v>8000</v>
      </c>
      <c r="DI66" s="47">
        <v>8000</v>
      </c>
      <c r="DJ66" s="47">
        <v>8000</v>
      </c>
      <c r="DK66" s="47">
        <v>8000</v>
      </c>
      <c r="DL66" s="47">
        <v>8000</v>
      </c>
      <c r="DM66" s="47">
        <v>8000</v>
      </c>
      <c r="DN66" s="47">
        <v>8000</v>
      </c>
      <c r="DO66" s="47">
        <v>8000</v>
      </c>
      <c r="DP66" s="47">
        <v>5000</v>
      </c>
      <c r="DQ66" s="47">
        <v>5000</v>
      </c>
      <c r="DR66" s="47">
        <v>5000</v>
      </c>
      <c r="DS66" s="47">
        <v>5000</v>
      </c>
      <c r="DT66" s="48">
        <v>5000</v>
      </c>
      <c r="DU66" s="49">
        <v>5000</v>
      </c>
      <c r="DV66" s="47">
        <v>5000</v>
      </c>
      <c r="DW66" s="47">
        <v>5000</v>
      </c>
      <c r="DX66" s="47">
        <v>5000</v>
      </c>
      <c r="DY66" s="47">
        <v>5000</v>
      </c>
      <c r="DZ66" s="47">
        <v>5000</v>
      </c>
      <c r="EA66" s="47">
        <v>5000</v>
      </c>
      <c r="EB66" s="47">
        <v>8000</v>
      </c>
      <c r="EC66" s="47">
        <v>8000</v>
      </c>
      <c r="ED66" s="47">
        <v>8000</v>
      </c>
      <c r="EE66" s="47">
        <v>8000</v>
      </c>
      <c r="EF66" s="47">
        <v>8000</v>
      </c>
      <c r="EG66" s="47">
        <v>8000</v>
      </c>
      <c r="EH66" s="47">
        <v>8000</v>
      </c>
      <c r="EI66" s="47">
        <v>8000</v>
      </c>
      <c r="EJ66" s="47">
        <v>8000</v>
      </c>
      <c r="EK66" s="47">
        <v>8000</v>
      </c>
      <c r="EL66" s="47">
        <v>8000</v>
      </c>
      <c r="EM66" s="47">
        <v>8000</v>
      </c>
      <c r="EN66" s="47">
        <v>5000</v>
      </c>
      <c r="EO66" s="47">
        <v>5000</v>
      </c>
      <c r="EP66" s="47">
        <v>5000</v>
      </c>
      <c r="EQ66" s="47">
        <v>5000</v>
      </c>
      <c r="ER66" s="48">
        <v>5000</v>
      </c>
      <c r="ES66" s="49">
        <v>5000</v>
      </c>
      <c r="ET66" s="47">
        <v>5000</v>
      </c>
      <c r="EU66" s="47">
        <v>5000</v>
      </c>
      <c r="EV66" s="47">
        <v>5000</v>
      </c>
      <c r="EW66" s="47">
        <v>5000</v>
      </c>
      <c r="EX66" s="47">
        <v>5000</v>
      </c>
      <c r="EY66" s="47">
        <v>5000</v>
      </c>
      <c r="EZ66" s="47">
        <v>8000</v>
      </c>
      <c r="FA66" s="47">
        <v>8000</v>
      </c>
      <c r="FB66" s="47">
        <v>8000</v>
      </c>
      <c r="FC66" s="47">
        <v>8000</v>
      </c>
      <c r="FD66" s="47">
        <v>8000</v>
      </c>
      <c r="FE66" s="47">
        <v>8000</v>
      </c>
      <c r="FF66" s="47">
        <v>8000</v>
      </c>
      <c r="FG66" s="47">
        <v>8000</v>
      </c>
      <c r="FH66" s="47">
        <v>8000</v>
      </c>
      <c r="FI66" s="47">
        <v>8000</v>
      </c>
      <c r="FJ66" s="47">
        <v>8000</v>
      </c>
      <c r="FK66" s="47">
        <v>8000</v>
      </c>
      <c r="FL66" s="47">
        <v>5000</v>
      </c>
      <c r="FM66" s="47">
        <v>5000</v>
      </c>
      <c r="FN66" s="47">
        <v>5000</v>
      </c>
      <c r="FO66" s="47">
        <v>5000</v>
      </c>
      <c r="FP66" s="48">
        <v>5000</v>
      </c>
    </row>
    <row r="67" spans="1:172" x14ac:dyDescent="0.2">
      <c r="A67" s="38" t="s">
        <v>343</v>
      </c>
      <c r="B67" s="1" t="s">
        <v>344</v>
      </c>
      <c r="C67" s="28" t="s">
        <v>255</v>
      </c>
      <c r="D67" s="1"/>
      <c r="E67" s="47">
        <v>25000</v>
      </c>
      <c r="F67" s="47">
        <v>25000</v>
      </c>
      <c r="G67" s="47">
        <v>25000</v>
      </c>
      <c r="H67" s="47">
        <v>25000</v>
      </c>
      <c r="I67" s="47">
        <v>25000</v>
      </c>
      <c r="J67" s="47">
        <v>25000</v>
      </c>
      <c r="K67" s="47">
        <v>25000</v>
      </c>
      <c r="L67" s="47">
        <v>25000</v>
      </c>
      <c r="M67" s="47">
        <v>25000</v>
      </c>
      <c r="N67" s="47">
        <v>25000</v>
      </c>
      <c r="O67" s="47">
        <v>25000</v>
      </c>
      <c r="P67" s="47">
        <v>25000</v>
      </c>
      <c r="Q67" s="47">
        <v>25000</v>
      </c>
      <c r="R67" s="47">
        <v>25000</v>
      </c>
      <c r="S67" s="47">
        <v>25000</v>
      </c>
      <c r="T67" s="47">
        <v>25000</v>
      </c>
      <c r="U67" s="47">
        <v>25000</v>
      </c>
      <c r="V67" s="47">
        <v>25000</v>
      </c>
      <c r="W67" s="47">
        <v>25000</v>
      </c>
      <c r="X67" s="47">
        <v>25000</v>
      </c>
      <c r="Y67" s="47">
        <v>25000</v>
      </c>
      <c r="Z67" s="47">
        <v>25000</v>
      </c>
      <c r="AA67" s="47">
        <v>25000</v>
      </c>
      <c r="AB67" s="48">
        <v>25000</v>
      </c>
      <c r="AC67" s="49">
        <v>25000</v>
      </c>
      <c r="AD67" s="47">
        <v>25000</v>
      </c>
      <c r="AE67" s="47">
        <v>25000</v>
      </c>
      <c r="AF67" s="47">
        <v>25000</v>
      </c>
      <c r="AG67" s="47">
        <v>25000</v>
      </c>
      <c r="AH67" s="47">
        <v>25000</v>
      </c>
      <c r="AI67" s="47">
        <v>25000</v>
      </c>
      <c r="AJ67" s="47">
        <v>25000</v>
      </c>
      <c r="AK67" s="47">
        <v>25000</v>
      </c>
      <c r="AL67" s="47">
        <v>25000</v>
      </c>
      <c r="AM67" s="47">
        <v>25000</v>
      </c>
      <c r="AN67" s="47">
        <v>25000</v>
      </c>
      <c r="AO67" s="47">
        <v>25000</v>
      </c>
      <c r="AP67" s="47">
        <v>25000</v>
      </c>
      <c r="AQ67" s="47">
        <v>25000</v>
      </c>
      <c r="AR67" s="47">
        <v>25000</v>
      </c>
      <c r="AS67" s="47">
        <v>25000</v>
      </c>
      <c r="AT67" s="47">
        <v>25000</v>
      </c>
      <c r="AU67" s="47">
        <v>25000</v>
      </c>
      <c r="AV67" s="47">
        <v>25000</v>
      </c>
      <c r="AW67" s="47">
        <v>25000</v>
      </c>
      <c r="AX67" s="47">
        <v>25000</v>
      </c>
      <c r="AY67" s="47">
        <v>25000</v>
      </c>
      <c r="AZ67" s="48">
        <v>25000</v>
      </c>
      <c r="BA67" s="49">
        <v>25000</v>
      </c>
      <c r="BB67" s="47">
        <v>25000</v>
      </c>
      <c r="BC67" s="47">
        <v>25000</v>
      </c>
      <c r="BD67" s="47">
        <v>25000</v>
      </c>
      <c r="BE67" s="47">
        <v>25000</v>
      </c>
      <c r="BF67" s="47">
        <v>25000</v>
      </c>
      <c r="BG67" s="47">
        <v>25000</v>
      </c>
      <c r="BH67" s="47">
        <v>25000</v>
      </c>
      <c r="BI67" s="47">
        <v>25000</v>
      </c>
      <c r="BJ67" s="47">
        <v>25000</v>
      </c>
      <c r="BK67" s="47">
        <v>25000</v>
      </c>
      <c r="BL67" s="47">
        <v>25000</v>
      </c>
      <c r="BM67" s="47">
        <v>25000</v>
      </c>
      <c r="BN67" s="47">
        <v>25000</v>
      </c>
      <c r="BO67" s="47">
        <v>25000</v>
      </c>
      <c r="BP67" s="47">
        <v>25000</v>
      </c>
      <c r="BQ67" s="47">
        <v>25000</v>
      </c>
      <c r="BR67" s="47">
        <v>25000</v>
      </c>
      <c r="BS67" s="47">
        <v>25000</v>
      </c>
      <c r="BT67" s="47">
        <v>25000</v>
      </c>
      <c r="BU67" s="47">
        <v>25000</v>
      </c>
      <c r="BV67" s="47">
        <v>25000</v>
      </c>
      <c r="BW67" s="47">
        <v>25000</v>
      </c>
      <c r="BX67" s="48">
        <v>25000</v>
      </c>
      <c r="BY67" s="49">
        <v>25000</v>
      </c>
      <c r="BZ67" s="47">
        <v>25000</v>
      </c>
      <c r="CA67" s="47">
        <v>25000</v>
      </c>
      <c r="CB67" s="47">
        <v>25000</v>
      </c>
      <c r="CC67" s="47">
        <v>25000</v>
      </c>
      <c r="CD67" s="47">
        <v>25000</v>
      </c>
      <c r="CE67" s="47">
        <v>25000</v>
      </c>
      <c r="CF67" s="47">
        <v>25000</v>
      </c>
      <c r="CG67" s="47">
        <v>25000</v>
      </c>
      <c r="CH67" s="47">
        <v>25000</v>
      </c>
      <c r="CI67" s="47">
        <v>25000</v>
      </c>
      <c r="CJ67" s="47">
        <v>25000</v>
      </c>
      <c r="CK67" s="47">
        <v>25000</v>
      </c>
      <c r="CL67" s="47">
        <v>25000</v>
      </c>
      <c r="CM67" s="47">
        <v>25000</v>
      </c>
      <c r="CN67" s="47">
        <v>25000</v>
      </c>
      <c r="CO67" s="47">
        <v>25000</v>
      </c>
      <c r="CP67" s="47">
        <v>25000</v>
      </c>
      <c r="CQ67" s="47">
        <v>25000</v>
      </c>
      <c r="CR67" s="47">
        <v>25000</v>
      </c>
      <c r="CS67" s="47">
        <v>25000</v>
      </c>
      <c r="CT67" s="47">
        <v>25000</v>
      </c>
      <c r="CU67" s="47">
        <v>25000</v>
      </c>
      <c r="CV67" s="48">
        <v>25000</v>
      </c>
      <c r="CW67" s="49">
        <v>25000</v>
      </c>
      <c r="CX67" s="47">
        <v>25000</v>
      </c>
      <c r="CY67" s="47">
        <v>25000</v>
      </c>
      <c r="CZ67" s="47">
        <v>25000</v>
      </c>
      <c r="DA67" s="47">
        <v>25000</v>
      </c>
      <c r="DB67" s="47">
        <v>25000</v>
      </c>
      <c r="DC67" s="47">
        <v>25000</v>
      </c>
      <c r="DD67" s="47">
        <v>25000</v>
      </c>
      <c r="DE67" s="47">
        <v>25000</v>
      </c>
      <c r="DF67" s="47">
        <v>25000</v>
      </c>
      <c r="DG67" s="47">
        <v>25000</v>
      </c>
      <c r="DH67" s="47">
        <v>25000</v>
      </c>
      <c r="DI67" s="47">
        <v>25000</v>
      </c>
      <c r="DJ67" s="47">
        <v>25000</v>
      </c>
      <c r="DK67" s="47">
        <v>25000</v>
      </c>
      <c r="DL67" s="47">
        <v>25000</v>
      </c>
      <c r="DM67" s="47">
        <v>25000</v>
      </c>
      <c r="DN67" s="47">
        <v>25000</v>
      </c>
      <c r="DO67" s="47">
        <v>25000</v>
      </c>
      <c r="DP67" s="47">
        <v>25000</v>
      </c>
      <c r="DQ67" s="47">
        <v>25000</v>
      </c>
      <c r="DR67" s="47">
        <v>25000</v>
      </c>
      <c r="DS67" s="47">
        <v>25000</v>
      </c>
      <c r="DT67" s="48">
        <v>25000</v>
      </c>
      <c r="DU67" s="49">
        <v>25000</v>
      </c>
      <c r="DV67" s="47">
        <v>25000</v>
      </c>
      <c r="DW67" s="47">
        <v>25000</v>
      </c>
      <c r="DX67" s="47">
        <v>25000</v>
      </c>
      <c r="DY67" s="47">
        <v>25000</v>
      </c>
      <c r="DZ67" s="47">
        <v>25000</v>
      </c>
      <c r="EA67" s="47">
        <v>25000</v>
      </c>
      <c r="EB67" s="47">
        <v>25000</v>
      </c>
      <c r="EC67" s="47">
        <v>25000</v>
      </c>
      <c r="ED67" s="47">
        <v>25000</v>
      </c>
      <c r="EE67" s="47">
        <v>25000</v>
      </c>
      <c r="EF67" s="47">
        <v>25000</v>
      </c>
      <c r="EG67" s="47">
        <v>25000</v>
      </c>
      <c r="EH67" s="47">
        <v>25000</v>
      </c>
      <c r="EI67" s="47">
        <v>25000</v>
      </c>
      <c r="EJ67" s="47">
        <v>25000</v>
      </c>
      <c r="EK67" s="47">
        <v>25000</v>
      </c>
      <c r="EL67" s="47">
        <v>25000</v>
      </c>
      <c r="EM67" s="47">
        <v>25000</v>
      </c>
      <c r="EN67" s="47">
        <v>25000</v>
      </c>
      <c r="EO67" s="47">
        <v>25000</v>
      </c>
      <c r="EP67" s="47">
        <v>25000</v>
      </c>
      <c r="EQ67" s="47">
        <v>25000</v>
      </c>
      <c r="ER67" s="48">
        <v>25000</v>
      </c>
      <c r="ES67" s="49">
        <v>25000</v>
      </c>
      <c r="ET67" s="47">
        <v>25000</v>
      </c>
      <c r="EU67" s="47">
        <v>25000</v>
      </c>
      <c r="EV67" s="47">
        <v>25000</v>
      </c>
      <c r="EW67" s="47">
        <v>25000</v>
      </c>
      <c r="EX67" s="47">
        <v>25000</v>
      </c>
      <c r="EY67" s="47">
        <v>25000</v>
      </c>
      <c r="EZ67" s="47">
        <v>25000</v>
      </c>
      <c r="FA67" s="47">
        <v>25000</v>
      </c>
      <c r="FB67" s="47">
        <v>25000</v>
      </c>
      <c r="FC67" s="47">
        <v>25000</v>
      </c>
      <c r="FD67" s="47">
        <v>25000</v>
      </c>
      <c r="FE67" s="47">
        <v>25000</v>
      </c>
      <c r="FF67" s="47">
        <v>25000</v>
      </c>
      <c r="FG67" s="47">
        <v>25000</v>
      </c>
      <c r="FH67" s="47">
        <v>25000</v>
      </c>
      <c r="FI67" s="47">
        <v>25000</v>
      </c>
      <c r="FJ67" s="47">
        <v>25000</v>
      </c>
      <c r="FK67" s="47">
        <v>25000</v>
      </c>
      <c r="FL67" s="47">
        <v>25000</v>
      </c>
      <c r="FM67" s="47">
        <v>25000</v>
      </c>
      <c r="FN67" s="47">
        <v>25000</v>
      </c>
      <c r="FO67" s="47">
        <v>25000</v>
      </c>
      <c r="FP67" s="48">
        <v>25000</v>
      </c>
    </row>
    <row r="68" spans="1:172" x14ac:dyDescent="0.2">
      <c r="A68" s="53" t="s">
        <v>345</v>
      </c>
      <c r="B68" s="1" t="s">
        <v>346</v>
      </c>
      <c r="C68" s="28" t="s">
        <v>255</v>
      </c>
      <c r="D68" s="24" t="b">
        <v>0</v>
      </c>
      <c r="E68" s="29"/>
    </row>
    <row r="70" spans="1:172" ht="21" thickBot="1" x14ac:dyDescent="0.3">
      <c r="A70" s="7" t="s">
        <v>347</v>
      </c>
      <c r="B70" s="21" t="s">
        <v>1</v>
      </c>
      <c r="C70" s="8" t="s">
        <v>2</v>
      </c>
      <c r="D70" s="21"/>
      <c r="E70" s="8" t="s">
        <v>4</v>
      </c>
      <c r="F70" s="8" t="s">
        <v>5</v>
      </c>
      <c r="G70" s="8" t="s">
        <v>6</v>
      </c>
      <c r="H70" s="8" t="s">
        <v>7</v>
      </c>
      <c r="I70" s="8" t="s">
        <v>8</v>
      </c>
      <c r="J70" s="8" t="s">
        <v>9</v>
      </c>
      <c r="K70" s="8" t="s">
        <v>10</v>
      </c>
      <c r="L70" s="8" t="s">
        <v>11</v>
      </c>
      <c r="M70" s="8" t="s">
        <v>12</v>
      </c>
      <c r="N70" s="8" t="s">
        <v>13</v>
      </c>
      <c r="O70" s="8" t="s">
        <v>14</v>
      </c>
      <c r="P70" s="8" t="s">
        <v>15</v>
      </c>
      <c r="Q70" s="8" t="s">
        <v>16</v>
      </c>
      <c r="R70" s="8" t="s">
        <v>17</v>
      </c>
      <c r="S70" s="8" t="s">
        <v>18</v>
      </c>
      <c r="T70" s="8" t="s">
        <v>19</v>
      </c>
      <c r="U70" s="8" t="s">
        <v>20</v>
      </c>
      <c r="V70" s="8" t="s">
        <v>21</v>
      </c>
      <c r="W70" s="8" t="s">
        <v>22</v>
      </c>
      <c r="X70" s="8" t="s">
        <v>23</v>
      </c>
      <c r="Y70" s="8" t="s">
        <v>24</v>
      </c>
      <c r="Z70" s="8" t="s">
        <v>25</v>
      </c>
      <c r="AA70" s="8" t="s">
        <v>26</v>
      </c>
      <c r="AB70" s="8" t="s">
        <v>27</v>
      </c>
      <c r="AC70" s="46" t="s">
        <v>28</v>
      </c>
      <c r="AD70" s="8" t="s">
        <v>29</v>
      </c>
      <c r="AE70" s="8" t="s">
        <v>30</v>
      </c>
      <c r="AF70" s="8" t="s">
        <v>31</v>
      </c>
      <c r="AG70" s="8" t="s">
        <v>32</v>
      </c>
      <c r="AH70" s="8" t="s">
        <v>33</v>
      </c>
      <c r="AI70" s="8" t="s">
        <v>34</v>
      </c>
      <c r="AJ70" s="8" t="s">
        <v>35</v>
      </c>
      <c r="AK70" s="8" t="s">
        <v>36</v>
      </c>
      <c r="AL70" s="8" t="s">
        <v>37</v>
      </c>
      <c r="AM70" s="8" t="s">
        <v>38</v>
      </c>
      <c r="AN70" s="8" t="s">
        <v>39</v>
      </c>
      <c r="AO70" s="8" t="s">
        <v>40</v>
      </c>
      <c r="AP70" s="8" t="s">
        <v>41</v>
      </c>
      <c r="AQ70" s="8" t="s">
        <v>42</v>
      </c>
      <c r="AR70" s="8" t="s">
        <v>43</v>
      </c>
      <c r="AS70" s="8" t="s">
        <v>44</v>
      </c>
      <c r="AT70" s="8" t="s">
        <v>45</v>
      </c>
      <c r="AU70" s="8" t="s">
        <v>46</v>
      </c>
      <c r="AV70" s="8" t="s">
        <v>47</v>
      </c>
      <c r="AW70" s="8" t="s">
        <v>48</v>
      </c>
      <c r="AX70" s="8" t="s">
        <v>49</v>
      </c>
      <c r="AY70" s="8" t="s">
        <v>50</v>
      </c>
      <c r="AZ70" s="8" t="s">
        <v>51</v>
      </c>
      <c r="BA70" s="46" t="s">
        <v>52</v>
      </c>
      <c r="BB70" s="8" t="s">
        <v>53</v>
      </c>
      <c r="BC70" s="8" t="s">
        <v>54</v>
      </c>
      <c r="BD70" s="8" t="s">
        <v>55</v>
      </c>
      <c r="BE70" s="8" t="s">
        <v>56</v>
      </c>
      <c r="BF70" s="8" t="s">
        <v>57</v>
      </c>
      <c r="BG70" s="8" t="s">
        <v>58</v>
      </c>
      <c r="BH70" s="8" t="s">
        <v>59</v>
      </c>
      <c r="BI70" s="8" t="s">
        <v>60</v>
      </c>
      <c r="BJ70" s="8" t="s">
        <v>61</v>
      </c>
      <c r="BK70" s="8" t="s">
        <v>62</v>
      </c>
      <c r="BL70" s="8" t="s">
        <v>63</v>
      </c>
      <c r="BM70" s="8" t="s">
        <v>64</v>
      </c>
      <c r="BN70" s="8" t="s">
        <v>65</v>
      </c>
      <c r="BO70" s="8" t="s">
        <v>66</v>
      </c>
      <c r="BP70" s="8" t="s">
        <v>67</v>
      </c>
      <c r="BQ70" s="8" t="s">
        <v>68</v>
      </c>
      <c r="BR70" s="8" t="s">
        <v>69</v>
      </c>
      <c r="BS70" s="8" t="s">
        <v>70</v>
      </c>
      <c r="BT70" s="8" t="s">
        <v>71</v>
      </c>
      <c r="BU70" s="8" t="s">
        <v>72</v>
      </c>
      <c r="BV70" s="8" t="s">
        <v>73</v>
      </c>
      <c r="BW70" s="8" t="s">
        <v>74</v>
      </c>
      <c r="BX70" s="8" t="s">
        <v>75</v>
      </c>
      <c r="BY70" s="46" t="s">
        <v>76</v>
      </c>
      <c r="BZ70" s="8" t="s">
        <v>77</v>
      </c>
      <c r="CA70" s="8" t="s">
        <v>78</v>
      </c>
      <c r="CB70" s="8" t="s">
        <v>79</v>
      </c>
      <c r="CC70" s="8" t="s">
        <v>80</v>
      </c>
      <c r="CD70" s="8" t="s">
        <v>81</v>
      </c>
      <c r="CE70" s="8" t="s">
        <v>82</v>
      </c>
      <c r="CF70" s="8" t="s">
        <v>83</v>
      </c>
      <c r="CG70" s="8" t="s">
        <v>84</v>
      </c>
      <c r="CH70" s="8" t="s">
        <v>85</v>
      </c>
      <c r="CI70" s="8" t="s">
        <v>86</v>
      </c>
      <c r="CJ70" s="8" t="s">
        <v>87</v>
      </c>
      <c r="CK70" s="8" t="s">
        <v>88</v>
      </c>
      <c r="CL70" s="8" t="s">
        <v>89</v>
      </c>
      <c r="CM70" s="8" t="s">
        <v>90</v>
      </c>
      <c r="CN70" s="8" t="s">
        <v>91</v>
      </c>
      <c r="CO70" s="8" t="s">
        <v>92</v>
      </c>
      <c r="CP70" s="8" t="s">
        <v>93</v>
      </c>
      <c r="CQ70" s="8" t="s">
        <v>94</v>
      </c>
      <c r="CR70" s="8" t="s">
        <v>95</v>
      </c>
      <c r="CS70" s="8" t="s">
        <v>96</v>
      </c>
      <c r="CT70" s="8" t="s">
        <v>97</v>
      </c>
      <c r="CU70" s="8" t="s">
        <v>98</v>
      </c>
      <c r="CV70" s="8" t="s">
        <v>99</v>
      </c>
      <c r="CW70" s="46" t="s">
        <v>100</v>
      </c>
      <c r="CX70" s="8" t="s">
        <v>101</v>
      </c>
      <c r="CY70" s="8" t="s">
        <v>102</v>
      </c>
      <c r="CZ70" s="8" t="s">
        <v>103</v>
      </c>
      <c r="DA70" s="8" t="s">
        <v>104</v>
      </c>
      <c r="DB70" s="8" t="s">
        <v>105</v>
      </c>
      <c r="DC70" s="8" t="s">
        <v>106</v>
      </c>
      <c r="DD70" s="8" t="s">
        <v>107</v>
      </c>
      <c r="DE70" s="8" t="s">
        <v>108</v>
      </c>
      <c r="DF70" s="8" t="s">
        <v>109</v>
      </c>
      <c r="DG70" s="8" t="s">
        <v>110</v>
      </c>
      <c r="DH70" s="8" t="s">
        <v>111</v>
      </c>
      <c r="DI70" s="8" t="s">
        <v>112</v>
      </c>
      <c r="DJ70" s="8" t="s">
        <v>113</v>
      </c>
      <c r="DK70" s="8" t="s">
        <v>114</v>
      </c>
      <c r="DL70" s="8" t="s">
        <v>115</v>
      </c>
      <c r="DM70" s="8" t="s">
        <v>116</v>
      </c>
      <c r="DN70" s="8" t="s">
        <v>117</v>
      </c>
      <c r="DO70" s="8" t="s">
        <v>118</v>
      </c>
      <c r="DP70" s="8" t="s">
        <v>119</v>
      </c>
      <c r="DQ70" s="8" t="s">
        <v>120</v>
      </c>
      <c r="DR70" s="8" t="s">
        <v>121</v>
      </c>
      <c r="DS70" s="8" t="s">
        <v>122</v>
      </c>
      <c r="DT70" s="8" t="s">
        <v>123</v>
      </c>
      <c r="DU70" s="46" t="s">
        <v>124</v>
      </c>
      <c r="DV70" s="8" t="s">
        <v>125</v>
      </c>
      <c r="DW70" s="8" t="s">
        <v>126</v>
      </c>
      <c r="DX70" s="8" t="s">
        <v>127</v>
      </c>
      <c r="DY70" s="8" t="s">
        <v>128</v>
      </c>
      <c r="DZ70" s="8" t="s">
        <v>129</v>
      </c>
      <c r="EA70" s="8" t="s">
        <v>130</v>
      </c>
      <c r="EB70" s="8" t="s">
        <v>131</v>
      </c>
      <c r="EC70" s="8" t="s">
        <v>132</v>
      </c>
      <c r="ED70" s="8" t="s">
        <v>133</v>
      </c>
      <c r="EE70" s="8" t="s">
        <v>134</v>
      </c>
      <c r="EF70" s="8" t="s">
        <v>135</v>
      </c>
      <c r="EG70" s="8" t="s">
        <v>136</v>
      </c>
      <c r="EH70" s="8" t="s">
        <v>137</v>
      </c>
      <c r="EI70" s="8" t="s">
        <v>138</v>
      </c>
      <c r="EJ70" s="8" t="s">
        <v>139</v>
      </c>
      <c r="EK70" s="8" t="s">
        <v>140</v>
      </c>
      <c r="EL70" s="8" t="s">
        <v>141</v>
      </c>
      <c r="EM70" s="8" t="s">
        <v>142</v>
      </c>
      <c r="EN70" s="8" t="s">
        <v>143</v>
      </c>
      <c r="EO70" s="8" t="s">
        <v>144</v>
      </c>
      <c r="EP70" s="8" t="s">
        <v>145</v>
      </c>
      <c r="EQ70" s="8" t="s">
        <v>146</v>
      </c>
      <c r="ER70" s="8" t="s">
        <v>147</v>
      </c>
      <c r="ES70" s="46" t="s">
        <v>148</v>
      </c>
      <c r="ET70" s="8" t="s">
        <v>149</v>
      </c>
      <c r="EU70" s="8" t="s">
        <v>150</v>
      </c>
      <c r="EV70" s="8" t="s">
        <v>151</v>
      </c>
      <c r="EW70" s="8" t="s">
        <v>152</v>
      </c>
      <c r="EX70" s="8" t="s">
        <v>153</v>
      </c>
      <c r="EY70" s="8" t="s">
        <v>154</v>
      </c>
      <c r="EZ70" s="8" t="s">
        <v>155</v>
      </c>
      <c r="FA70" s="8" t="s">
        <v>156</v>
      </c>
      <c r="FB70" s="8" t="s">
        <v>157</v>
      </c>
      <c r="FC70" s="8" t="s">
        <v>158</v>
      </c>
      <c r="FD70" s="8" t="s">
        <v>159</v>
      </c>
      <c r="FE70" s="8" t="s">
        <v>160</v>
      </c>
      <c r="FF70" s="8" t="s">
        <v>161</v>
      </c>
      <c r="FG70" s="8" t="s">
        <v>162</v>
      </c>
      <c r="FH70" s="8" t="s">
        <v>163</v>
      </c>
      <c r="FI70" s="8" t="s">
        <v>164</v>
      </c>
      <c r="FJ70" s="8" t="s">
        <v>165</v>
      </c>
      <c r="FK70" s="8" t="s">
        <v>166</v>
      </c>
      <c r="FL70" s="8" t="s">
        <v>167</v>
      </c>
      <c r="FM70" s="8" t="s">
        <v>168</v>
      </c>
      <c r="FN70" s="8" t="s">
        <v>169</v>
      </c>
      <c r="FO70" s="8" t="s">
        <v>170</v>
      </c>
      <c r="FP70" s="8" t="s">
        <v>171</v>
      </c>
    </row>
    <row r="71" spans="1:172" ht="16" thickTop="1" x14ac:dyDescent="0.2">
      <c r="A71" s="38" t="s">
        <v>348</v>
      </c>
      <c r="B71" s="1" t="s">
        <v>349</v>
      </c>
      <c r="C71" s="28" t="s">
        <v>252</v>
      </c>
      <c r="D71" s="1"/>
      <c r="E71" s="56">
        <v>8.4</v>
      </c>
      <c r="F71" s="56">
        <v>8</v>
      </c>
      <c r="G71" s="56">
        <v>8</v>
      </c>
      <c r="H71" s="56">
        <v>8</v>
      </c>
      <c r="I71" s="56">
        <v>8</v>
      </c>
      <c r="J71" s="56">
        <v>8</v>
      </c>
      <c r="K71" s="56">
        <v>8</v>
      </c>
      <c r="L71" s="56">
        <v>8</v>
      </c>
      <c r="M71" s="56">
        <v>8</v>
      </c>
      <c r="N71" s="56">
        <v>8</v>
      </c>
      <c r="O71" s="56">
        <v>8</v>
      </c>
      <c r="P71" s="56">
        <v>8</v>
      </c>
      <c r="Q71" s="56">
        <v>8</v>
      </c>
      <c r="R71" s="56">
        <v>8</v>
      </c>
      <c r="S71" s="56">
        <v>8</v>
      </c>
      <c r="T71" s="56">
        <v>8</v>
      </c>
      <c r="U71" s="56">
        <v>8</v>
      </c>
      <c r="V71" s="56">
        <v>8</v>
      </c>
      <c r="W71" s="56">
        <v>8</v>
      </c>
      <c r="X71" s="56">
        <v>8</v>
      </c>
      <c r="Y71" s="56">
        <v>8</v>
      </c>
      <c r="Z71" s="56">
        <v>8</v>
      </c>
      <c r="AA71" s="56">
        <v>8</v>
      </c>
      <c r="AB71" s="57">
        <v>8</v>
      </c>
      <c r="AC71" s="58">
        <v>8</v>
      </c>
      <c r="AD71" s="56">
        <v>8</v>
      </c>
      <c r="AE71" s="56">
        <v>8</v>
      </c>
      <c r="AF71" s="56">
        <v>8</v>
      </c>
      <c r="AG71" s="56">
        <v>8</v>
      </c>
      <c r="AH71" s="56">
        <v>8</v>
      </c>
      <c r="AI71" s="56">
        <v>8</v>
      </c>
      <c r="AJ71" s="56">
        <v>8</v>
      </c>
      <c r="AK71" s="56">
        <v>8</v>
      </c>
      <c r="AL71" s="56">
        <v>8</v>
      </c>
      <c r="AM71" s="56">
        <v>8</v>
      </c>
      <c r="AN71" s="56">
        <v>8</v>
      </c>
      <c r="AO71" s="56">
        <v>8</v>
      </c>
      <c r="AP71" s="56">
        <v>8</v>
      </c>
      <c r="AQ71" s="56">
        <v>8</v>
      </c>
      <c r="AR71" s="56">
        <v>8</v>
      </c>
      <c r="AS71" s="56">
        <v>8</v>
      </c>
      <c r="AT71" s="56">
        <v>8</v>
      </c>
      <c r="AU71" s="56">
        <v>8</v>
      </c>
      <c r="AV71" s="56">
        <v>8</v>
      </c>
      <c r="AW71" s="56">
        <v>8</v>
      </c>
      <c r="AX71" s="56">
        <v>8</v>
      </c>
      <c r="AY71" s="56">
        <v>8</v>
      </c>
      <c r="AZ71" s="57">
        <v>8</v>
      </c>
      <c r="BA71" s="58">
        <v>8</v>
      </c>
      <c r="BB71" s="56">
        <v>8</v>
      </c>
      <c r="BC71" s="56">
        <v>8</v>
      </c>
      <c r="BD71" s="56">
        <v>8</v>
      </c>
      <c r="BE71" s="56">
        <v>8</v>
      </c>
      <c r="BF71" s="56">
        <v>8</v>
      </c>
      <c r="BG71" s="56">
        <v>8</v>
      </c>
      <c r="BH71" s="56">
        <v>8</v>
      </c>
      <c r="BI71" s="56">
        <v>8</v>
      </c>
      <c r="BJ71" s="56">
        <v>8</v>
      </c>
      <c r="BK71" s="56">
        <v>8</v>
      </c>
      <c r="BL71" s="56">
        <v>8</v>
      </c>
      <c r="BM71" s="56">
        <v>8</v>
      </c>
      <c r="BN71" s="56">
        <v>8</v>
      </c>
      <c r="BO71" s="56">
        <v>8</v>
      </c>
      <c r="BP71" s="56">
        <v>8</v>
      </c>
      <c r="BQ71" s="56">
        <v>8</v>
      </c>
      <c r="BR71" s="56">
        <v>8</v>
      </c>
      <c r="BS71" s="56">
        <v>8</v>
      </c>
      <c r="BT71" s="56">
        <v>8</v>
      </c>
      <c r="BU71" s="56">
        <v>8</v>
      </c>
      <c r="BV71" s="56">
        <v>8</v>
      </c>
      <c r="BW71" s="56">
        <v>8</v>
      </c>
      <c r="BX71" s="57">
        <v>8</v>
      </c>
      <c r="BY71" s="58">
        <v>8</v>
      </c>
      <c r="BZ71" s="56">
        <v>8</v>
      </c>
      <c r="CA71" s="56">
        <v>8</v>
      </c>
      <c r="CB71" s="56">
        <v>8</v>
      </c>
      <c r="CC71" s="56">
        <v>8</v>
      </c>
      <c r="CD71" s="56">
        <v>8</v>
      </c>
      <c r="CE71" s="56">
        <v>8</v>
      </c>
      <c r="CF71" s="56">
        <v>8</v>
      </c>
      <c r="CG71" s="56">
        <v>8</v>
      </c>
      <c r="CH71" s="56">
        <v>8</v>
      </c>
      <c r="CI71" s="56">
        <v>8</v>
      </c>
      <c r="CJ71" s="56">
        <v>8</v>
      </c>
      <c r="CK71" s="56">
        <v>8</v>
      </c>
      <c r="CL71" s="56">
        <v>8</v>
      </c>
      <c r="CM71" s="56">
        <v>8</v>
      </c>
      <c r="CN71" s="56">
        <v>8</v>
      </c>
      <c r="CO71" s="56">
        <v>8</v>
      </c>
      <c r="CP71" s="56">
        <v>8</v>
      </c>
      <c r="CQ71" s="56">
        <v>8</v>
      </c>
      <c r="CR71" s="56">
        <v>8</v>
      </c>
      <c r="CS71" s="56">
        <v>8</v>
      </c>
      <c r="CT71" s="56">
        <v>8</v>
      </c>
      <c r="CU71" s="56">
        <v>8</v>
      </c>
      <c r="CV71" s="57">
        <v>8</v>
      </c>
      <c r="CW71" s="58">
        <v>8</v>
      </c>
      <c r="CX71" s="56">
        <v>8</v>
      </c>
      <c r="CY71" s="56">
        <v>8</v>
      </c>
      <c r="CZ71" s="56">
        <v>8</v>
      </c>
      <c r="DA71" s="56">
        <v>8</v>
      </c>
      <c r="DB71" s="56">
        <v>8</v>
      </c>
      <c r="DC71" s="56">
        <v>8</v>
      </c>
      <c r="DD71" s="56">
        <v>8</v>
      </c>
      <c r="DE71" s="56">
        <v>8</v>
      </c>
      <c r="DF71" s="56">
        <v>8</v>
      </c>
      <c r="DG71" s="56">
        <v>8</v>
      </c>
      <c r="DH71" s="56">
        <v>8</v>
      </c>
      <c r="DI71" s="56">
        <v>8</v>
      </c>
      <c r="DJ71" s="56">
        <v>8</v>
      </c>
      <c r="DK71" s="56">
        <v>8</v>
      </c>
      <c r="DL71" s="56">
        <v>8</v>
      </c>
      <c r="DM71" s="56">
        <v>8</v>
      </c>
      <c r="DN71" s="56">
        <v>8</v>
      </c>
      <c r="DO71" s="56">
        <v>8</v>
      </c>
      <c r="DP71" s="56">
        <v>8</v>
      </c>
      <c r="DQ71" s="56">
        <v>8</v>
      </c>
      <c r="DR71" s="56">
        <v>8</v>
      </c>
      <c r="DS71" s="56">
        <v>8</v>
      </c>
      <c r="DT71" s="57">
        <v>8</v>
      </c>
      <c r="DU71" s="58">
        <v>8</v>
      </c>
      <c r="DV71" s="56">
        <v>8</v>
      </c>
      <c r="DW71" s="56">
        <v>8</v>
      </c>
      <c r="DX71" s="56">
        <v>8</v>
      </c>
      <c r="DY71" s="56">
        <v>8</v>
      </c>
      <c r="DZ71" s="56">
        <v>8</v>
      </c>
      <c r="EA71" s="56">
        <v>8</v>
      </c>
      <c r="EB71" s="56">
        <v>8</v>
      </c>
      <c r="EC71" s="56">
        <v>8</v>
      </c>
      <c r="ED71" s="56">
        <v>8</v>
      </c>
      <c r="EE71" s="56">
        <v>8</v>
      </c>
      <c r="EF71" s="56">
        <v>8</v>
      </c>
      <c r="EG71" s="56">
        <v>8</v>
      </c>
      <c r="EH71" s="56">
        <v>8</v>
      </c>
      <c r="EI71" s="56">
        <v>8</v>
      </c>
      <c r="EJ71" s="56">
        <v>8</v>
      </c>
      <c r="EK71" s="56">
        <v>8</v>
      </c>
      <c r="EL71" s="56">
        <v>8</v>
      </c>
      <c r="EM71" s="56">
        <v>8</v>
      </c>
      <c r="EN71" s="56">
        <v>8</v>
      </c>
      <c r="EO71" s="56">
        <v>8</v>
      </c>
      <c r="EP71" s="56">
        <v>8</v>
      </c>
      <c r="EQ71" s="56">
        <v>8</v>
      </c>
      <c r="ER71" s="57">
        <v>8</v>
      </c>
      <c r="ES71" s="58">
        <v>8</v>
      </c>
      <c r="ET71" s="56">
        <v>8</v>
      </c>
      <c r="EU71" s="56">
        <v>8</v>
      </c>
      <c r="EV71" s="56">
        <v>8</v>
      </c>
      <c r="EW71" s="56">
        <v>8</v>
      </c>
      <c r="EX71" s="56">
        <v>8</v>
      </c>
      <c r="EY71" s="56">
        <v>8</v>
      </c>
      <c r="EZ71" s="56">
        <v>8</v>
      </c>
      <c r="FA71" s="56">
        <v>8</v>
      </c>
      <c r="FB71" s="56">
        <v>8</v>
      </c>
      <c r="FC71" s="56">
        <v>8</v>
      </c>
      <c r="FD71" s="56">
        <v>8</v>
      </c>
      <c r="FE71" s="56">
        <v>8</v>
      </c>
      <c r="FF71" s="56">
        <v>8</v>
      </c>
      <c r="FG71" s="56">
        <v>8</v>
      </c>
      <c r="FH71" s="56">
        <v>8</v>
      </c>
      <c r="FI71" s="56">
        <v>8</v>
      </c>
      <c r="FJ71" s="56">
        <v>8</v>
      </c>
      <c r="FK71" s="56">
        <v>8</v>
      </c>
      <c r="FL71" s="56">
        <v>8</v>
      </c>
      <c r="FM71" s="56">
        <v>8</v>
      </c>
      <c r="FN71" s="56">
        <v>8</v>
      </c>
      <c r="FO71" s="56">
        <v>8</v>
      </c>
      <c r="FP71" s="57">
        <v>8</v>
      </c>
    </row>
    <row r="72" spans="1:172" x14ac:dyDescent="0.2">
      <c r="A72" s="38" t="s">
        <v>350</v>
      </c>
      <c r="B72" s="1" t="s">
        <v>351</v>
      </c>
      <c r="C72" s="28" t="s">
        <v>252</v>
      </c>
      <c r="D72" s="1"/>
      <c r="E72" s="56">
        <v>12.8</v>
      </c>
      <c r="F72" s="56">
        <v>13.5</v>
      </c>
      <c r="G72" s="56">
        <v>13.5</v>
      </c>
      <c r="H72" s="56">
        <v>13.5</v>
      </c>
      <c r="I72" s="56">
        <v>13.5</v>
      </c>
      <c r="J72" s="56">
        <v>13.5</v>
      </c>
      <c r="K72" s="56">
        <v>13.5</v>
      </c>
      <c r="L72" s="56">
        <v>13.5</v>
      </c>
      <c r="M72" s="56">
        <v>13.5</v>
      </c>
      <c r="N72" s="56">
        <v>13.5</v>
      </c>
      <c r="O72" s="56">
        <v>13.5</v>
      </c>
      <c r="P72" s="56">
        <v>13.5</v>
      </c>
      <c r="Q72" s="56">
        <v>13.5</v>
      </c>
      <c r="R72" s="56">
        <v>13.5</v>
      </c>
      <c r="S72" s="56">
        <v>13.5</v>
      </c>
      <c r="T72" s="56">
        <v>13.5</v>
      </c>
      <c r="U72" s="56">
        <v>13.5</v>
      </c>
      <c r="V72" s="56">
        <v>13.5</v>
      </c>
      <c r="W72" s="56">
        <v>13.5</v>
      </c>
      <c r="X72" s="56">
        <v>13.5</v>
      </c>
      <c r="Y72" s="56">
        <v>13.5</v>
      </c>
      <c r="Z72" s="56">
        <v>13.5</v>
      </c>
      <c r="AA72" s="56">
        <v>13.5</v>
      </c>
      <c r="AB72" s="57">
        <v>13.5</v>
      </c>
      <c r="AC72" s="58">
        <v>13.5</v>
      </c>
      <c r="AD72" s="56">
        <v>13.5</v>
      </c>
      <c r="AE72" s="56">
        <v>13.5</v>
      </c>
      <c r="AF72" s="56">
        <v>13.5</v>
      </c>
      <c r="AG72" s="56">
        <v>13.5</v>
      </c>
      <c r="AH72" s="56">
        <v>13.5</v>
      </c>
      <c r="AI72" s="56">
        <v>13.5</v>
      </c>
      <c r="AJ72" s="56">
        <v>13.5</v>
      </c>
      <c r="AK72" s="56">
        <v>13.5</v>
      </c>
      <c r="AL72" s="56">
        <v>13.5</v>
      </c>
      <c r="AM72" s="56">
        <v>13.5</v>
      </c>
      <c r="AN72" s="56">
        <v>13.5</v>
      </c>
      <c r="AO72" s="56">
        <v>13.5</v>
      </c>
      <c r="AP72" s="56">
        <v>13.5</v>
      </c>
      <c r="AQ72" s="56">
        <v>13.5</v>
      </c>
      <c r="AR72" s="56">
        <v>13.5</v>
      </c>
      <c r="AS72" s="56">
        <v>13.5</v>
      </c>
      <c r="AT72" s="56">
        <v>13.5</v>
      </c>
      <c r="AU72" s="56">
        <v>13.5</v>
      </c>
      <c r="AV72" s="56">
        <v>13.5</v>
      </c>
      <c r="AW72" s="56">
        <v>13.5</v>
      </c>
      <c r="AX72" s="56">
        <v>13.5</v>
      </c>
      <c r="AY72" s="56">
        <v>13.5</v>
      </c>
      <c r="AZ72" s="57">
        <v>13.5</v>
      </c>
      <c r="BA72" s="58">
        <v>13.5</v>
      </c>
      <c r="BB72" s="56">
        <v>13.5</v>
      </c>
      <c r="BC72" s="56">
        <v>13.5</v>
      </c>
      <c r="BD72" s="56">
        <v>13.5</v>
      </c>
      <c r="BE72" s="56">
        <v>13.5</v>
      </c>
      <c r="BF72" s="56">
        <v>13.5</v>
      </c>
      <c r="BG72" s="56">
        <v>13.5</v>
      </c>
      <c r="BH72" s="56">
        <v>13.5</v>
      </c>
      <c r="BI72" s="56">
        <v>13.5</v>
      </c>
      <c r="BJ72" s="56">
        <v>13.5</v>
      </c>
      <c r="BK72" s="56">
        <v>13.5</v>
      </c>
      <c r="BL72" s="56">
        <v>13.5</v>
      </c>
      <c r="BM72" s="56">
        <v>13.5</v>
      </c>
      <c r="BN72" s="56">
        <v>13.5</v>
      </c>
      <c r="BO72" s="56">
        <v>13.5</v>
      </c>
      <c r="BP72" s="56">
        <v>13.5</v>
      </c>
      <c r="BQ72" s="56">
        <v>13.5</v>
      </c>
      <c r="BR72" s="56">
        <v>13.5</v>
      </c>
      <c r="BS72" s="56">
        <v>13.5</v>
      </c>
      <c r="BT72" s="56">
        <v>13.5</v>
      </c>
      <c r="BU72" s="56">
        <v>13.5</v>
      </c>
      <c r="BV72" s="56">
        <v>13.5</v>
      </c>
      <c r="BW72" s="56">
        <v>13.5</v>
      </c>
      <c r="BX72" s="57">
        <v>13.5</v>
      </c>
      <c r="BY72" s="58">
        <v>13.5</v>
      </c>
      <c r="BZ72" s="56">
        <v>13.5</v>
      </c>
      <c r="CA72" s="56">
        <v>13.5</v>
      </c>
      <c r="CB72" s="56">
        <v>13.5</v>
      </c>
      <c r="CC72" s="56">
        <v>13.5</v>
      </c>
      <c r="CD72" s="56">
        <v>13.5</v>
      </c>
      <c r="CE72" s="56">
        <v>13.5</v>
      </c>
      <c r="CF72" s="56">
        <v>13.5</v>
      </c>
      <c r="CG72" s="56">
        <v>13.5</v>
      </c>
      <c r="CH72" s="56">
        <v>13.5</v>
      </c>
      <c r="CI72" s="56">
        <v>13.5</v>
      </c>
      <c r="CJ72" s="56">
        <v>13.5</v>
      </c>
      <c r="CK72" s="56">
        <v>13.5</v>
      </c>
      <c r="CL72" s="56">
        <v>13.5</v>
      </c>
      <c r="CM72" s="56">
        <v>13.5</v>
      </c>
      <c r="CN72" s="56">
        <v>13.5</v>
      </c>
      <c r="CO72" s="56">
        <v>13.5</v>
      </c>
      <c r="CP72" s="56">
        <v>13.5</v>
      </c>
      <c r="CQ72" s="56">
        <v>13.5</v>
      </c>
      <c r="CR72" s="56">
        <v>13.5</v>
      </c>
      <c r="CS72" s="56">
        <v>13.5</v>
      </c>
      <c r="CT72" s="56">
        <v>13.5</v>
      </c>
      <c r="CU72" s="56">
        <v>13.5</v>
      </c>
      <c r="CV72" s="57">
        <v>13.5</v>
      </c>
      <c r="CW72" s="58">
        <v>13.5</v>
      </c>
      <c r="CX72" s="56">
        <v>13.5</v>
      </c>
      <c r="CY72" s="56">
        <v>13.5</v>
      </c>
      <c r="CZ72" s="56">
        <v>13.5</v>
      </c>
      <c r="DA72" s="56">
        <v>13.5</v>
      </c>
      <c r="DB72" s="56">
        <v>13.5</v>
      </c>
      <c r="DC72" s="56">
        <v>13.5</v>
      </c>
      <c r="DD72" s="56">
        <v>13.5</v>
      </c>
      <c r="DE72" s="56">
        <v>13.5</v>
      </c>
      <c r="DF72" s="56">
        <v>13.5</v>
      </c>
      <c r="DG72" s="56">
        <v>13.5</v>
      </c>
      <c r="DH72" s="56">
        <v>13.5</v>
      </c>
      <c r="DI72" s="56">
        <v>13.5</v>
      </c>
      <c r="DJ72" s="56">
        <v>13.5</v>
      </c>
      <c r="DK72" s="56">
        <v>13.5</v>
      </c>
      <c r="DL72" s="56">
        <v>13.5</v>
      </c>
      <c r="DM72" s="56">
        <v>13.5</v>
      </c>
      <c r="DN72" s="56">
        <v>13.5</v>
      </c>
      <c r="DO72" s="56">
        <v>13.5</v>
      </c>
      <c r="DP72" s="56">
        <v>13.5</v>
      </c>
      <c r="DQ72" s="56">
        <v>13.5</v>
      </c>
      <c r="DR72" s="56">
        <v>13.5</v>
      </c>
      <c r="DS72" s="56">
        <v>13.5</v>
      </c>
      <c r="DT72" s="57">
        <v>13.5</v>
      </c>
      <c r="DU72" s="58">
        <v>13.5</v>
      </c>
      <c r="DV72" s="56">
        <v>13.5</v>
      </c>
      <c r="DW72" s="56">
        <v>13.5</v>
      </c>
      <c r="DX72" s="56">
        <v>13.5</v>
      </c>
      <c r="DY72" s="56">
        <v>13.5</v>
      </c>
      <c r="DZ72" s="56">
        <v>13.5</v>
      </c>
      <c r="EA72" s="56">
        <v>13.5</v>
      </c>
      <c r="EB72" s="56">
        <v>13.5</v>
      </c>
      <c r="EC72" s="56">
        <v>13.5</v>
      </c>
      <c r="ED72" s="56">
        <v>13.5</v>
      </c>
      <c r="EE72" s="56">
        <v>13.5</v>
      </c>
      <c r="EF72" s="56">
        <v>13.5</v>
      </c>
      <c r="EG72" s="56">
        <v>13.5</v>
      </c>
      <c r="EH72" s="56">
        <v>13.5</v>
      </c>
      <c r="EI72" s="56">
        <v>13.5</v>
      </c>
      <c r="EJ72" s="56">
        <v>13.5</v>
      </c>
      <c r="EK72" s="56">
        <v>13.5</v>
      </c>
      <c r="EL72" s="56">
        <v>13.5</v>
      </c>
      <c r="EM72" s="56">
        <v>13.5</v>
      </c>
      <c r="EN72" s="56">
        <v>13.5</v>
      </c>
      <c r="EO72" s="56">
        <v>13.5</v>
      </c>
      <c r="EP72" s="56">
        <v>13.5</v>
      </c>
      <c r="EQ72" s="56">
        <v>13.5</v>
      </c>
      <c r="ER72" s="57">
        <v>13.5</v>
      </c>
      <c r="ES72" s="58">
        <v>13.5</v>
      </c>
      <c r="ET72" s="56">
        <v>13.5</v>
      </c>
      <c r="EU72" s="56">
        <v>13.5</v>
      </c>
      <c r="EV72" s="56">
        <v>13.5</v>
      </c>
      <c r="EW72" s="56">
        <v>13.5</v>
      </c>
      <c r="EX72" s="56">
        <v>13.5</v>
      </c>
      <c r="EY72" s="56">
        <v>13.5</v>
      </c>
      <c r="EZ72" s="56">
        <v>13.5</v>
      </c>
      <c r="FA72" s="56">
        <v>13.5</v>
      </c>
      <c r="FB72" s="56">
        <v>13.5</v>
      </c>
      <c r="FC72" s="56">
        <v>13.5</v>
      </c>
      <c r="FD72" s="56">
        <v>13.5</v>
      </c>
      <c r="FE72" s="56">
        <v>13.5</v>
      </c>
      <c r="FF72" s="56">
        <v>13.5</v>
      </c>
      <c r="FG72" s="56">
        <v>13.5</v>
      </c>
      <c r="FH72" s="56">
        <v>13.5</v>
      </c>
      <c r="FI72" s="56">
        <v>13.5</v>
      </c>
      <c r="FJ72" s="56">
        <v>13.5</v>
      </c>
      <c r="FK72" s="56">
        <v>13.5</v>
      </c>
      <c r="FL72" s="56">
        <v>13.5</v>
      </c>
      <c r="FM72" s="56">
        <v>13.5</v>
      </c>
      <c r="FN72" s="56">
        <v>13.5</v>
      </c>
      <c r="FO72" s="56">
        <v>13.5</v>
      </c>
      <c r="FP72" s="57">
        <v>13.5</v>
      </c>
    </row>
    <row r="73" spans="1:172" ht="16" thickBot="1" x14ac:dyDescent="0.25">
      <c r="A73" s="35" t="s">
        <v>352</v>
      </c>
      <c r="B73" s="1" t="s">
        <v>353</v>
      </c>
      <c r="C73" s="1"/>
      <c r="D73" s="24" t="b">
        <v>0</v>
      </c>
      <c r="E73" s="59" t="s">
        <v>411</v>
      </c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60"/>
      <c r="AC73" s="61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60"/>
      <c r="BA73" s="61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60"/>
      <c r="BY73" s="61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60"/>
      <c r="CW73" s="61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60"/>
      <c r="DU73" s="61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60"/>
      <c r="ES73" s="61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60"/>
    </row>
    <row r="74" spans="1:172" x14ac:dyDescent="0.2">
      <c r="A74" s="38" t="s">
        <v>354</v>
      </c>
      <c r="B74" s="1" t="s">
        <v>355</v>
      </c>
      <c r="C74" s="28" t="s">
        <v>255</v>
      </c>
      <c r="D74" s="1"/>
      <c r="E74" s="56">
        <v>19.5</v>
      </c>
      <c r="F74" s="56">
        <v>19.5</v>
      </c>
      <c r="G74" s="56">
        <v>19.5</v>
      </c>
      <c r="H74" s="56">
        <v>19.5</v>
      </c>
      <c r="I74" s="56">
        <v>19.5</v>
      </c>
      <c r="J74" s="56">
        <v>19.5</v>
      </c>
      <c r="K74" s="56">
        <v>19.5</v>
      </c>
      <c r="L74" s="56">
        <v>19.5</v>
      </c>
      <c r="M74" s="56">
        <v>19.5</v>
      </c>
      <c r="N74" s="56">
        <v>19.5</v>
      </c>
      <c r="O74" s="56">
        <v>19.5</v>
      </c>
      <c r="P74" s="56">
        <v>19.5</v>
      </c>
      <c r="Q74" s="56">
        <v>19.5</v>
      </c>
      <c r="R74" s="56">
        <v>19.5</v>
      </c>
      <c r="S74" s="56">
        <v>19.5</v>
      </c>
      <c r="T74" s="56">
        <v>19.5</v>
      </c>
      <c r="U74" s="56">
        <v>19.5</v>
      </c>
      <c r="V74" s="56">
        <v>19.5</v>
      </c>
      <c r="W74" s="56">
        <v>19.5</v>
      </c>
      <c r="X74" s="56">
        <v>19.5</v>
      </c>
      <c r="Y74" s="56">
        <v>19.5</v>
      </c>
      <c r="Z74" s="56">
        <v>19.5</v>
      </c>
      <c r="AA74" s="56">
        <v>19.5</v>
      </c>
      <c r="AB74" s="57">
        <v>19.5</v>
      </c>
      <c r="AC74" s="58">
        <v>19.5</v>
      </c>
      <c r="AD74" s="56">
        <v>19.5</v>
      </c>
      <c r="AE74" s="56">
        <v>19.5</v>
      </c>
      <c r="AF74" s="56">
        <v>19.5</v>
      </c>
      <c r="AG74" s="56">
        <v>19.5</v>
      </c>
      <c r="AH74" s="56">
        <v>19.5</v>
      </c>
      <c r="AI74" s="56">
        <v>19.5</v>
      </c>
      <c r="AJ74" s="56">
        <v>19.5</v>
      </c>
      <c r="AK74" s="56">
        <v>19.5</v>
      </c>
      <c r="AL74" s="56">
        <v>19.5</v>
      </c>
      <c r="AM74" s="56">
        <v>19.5</v>
      </c>
      <c r="AN74" s="56">
        <v>19.5</v>
      </c>
      <c r="AO74" s="56">
        <v>19.5</v>
      </c>
      <c r="AP74" s="56">
        <v>19.5</v>
      </c>
      <c r="AQ74" s="56">
        <v>19.5</v>
      </c>
      <c r="AR74" s="56">
        <v>19.5</v>
      </c>
      <c r="AS74" s="56">
        <v>19.5</v>
      </c>
      <c r="AT74" s="56">
        <v>19.5</v>
      </c>
      <c r="AU74" s="56">
        <v>19.5</v>
      </c>
      <c r="AV74" s="56">
        <v>19.5</v>
      </c>
      <c r="AW74" s="56">
        <v>19.5</v>
      </c>
      <c r="AX74" s="56">
        <v>19.5</v>
      </c>
      <c r="AY74" s="56">
        <v>19.5</v>
      </c>
      <c r="AZ74" s="57">
        <v>19.5</v>
      </c>
      <c r="BA74" s="58">
        <v>19.5</v>
      </c>
      <c r="BB74" s="56">
        <v>19.5</v>
      </c>
      <c r="BC74" s="56">
        <v>19.5</v>
      </c>
      <c r="BD74" s="56">
        <v>19.5</v>
      </c>
      <c r="BE74" s="56">
        <v>19.5</v>
      </c>
      <c r="BF74" s="56">
        <v>19.5</v>
      </c>
      <c r="BG74" s="56">
        <v>19.5</v>
      </c>
      <c r="BH74" s="56">
        <v>19.5</v>
      </c>
      <c r="BI74" s="56">
        <v>19.5</v>
      </c>
      <c r="BJ74" s="56">
        <v>19.5</v>
      </c>
      <c r="BK74" s="56">
        <v>19.5</v>
      </c>
      <c r="BL74" s="56">
        <v>19.5</v>
      </c>
      <c r="BM74" s="56">
        <v>19.5</v>
      </c>
      <c r="BN74" s="56">
        <v>19.5</v>
      </c>
      <c r="BO74" s="56">
        <v>19.5</v>
      </c>
      <c r="BP74" s="56">
        <v>19.5</v>
      </c>
      <c r="BQ74" s="56">
        <v>19.5</v>
      </c>
      <c r="BR74" s="56">
        <v>19.5</v>
      </c>
      <c r="BS74" s="56">
        <v>19.5</v>
      </c>
      <c r="BT74" s="56">
        <v>19.5</v>
      </c>
      <c r="BU74" s="56">
        <v>19.5</v>
      </c>
      <c r="BV74" s="56">
        <v>19.5</v>
      </c>
      <c r="BW74" s="56">
        <v>19.5</v>
      </c>
      <c r="BX74" s="57">
        <v>19.5</v>
      </c>
      <c r="BY74" s="58">
        <v>19.5</v>
      </c>
      <c r="BZ74" s="56">
        <v>19.5</v>
      </c>
      <c r="CA74" s="56">
        <v>19.5</v>
      </c>
      <c r="CB74" s="56">
        <v>19.5</v>
      </c>
      <c r="CC74" s="56">
        <v>19.5</v>
      </c>
      <c r="CD74" s="56">
        <v>19.5</v>
      </c>
      <c r="CE74" s="56">
        <v>19.5</v>
      </c>
      <c r="CF74" s="56">
        <v>19.5</v>
      </c>
      <c r="CG74" s="56">
        <v>19.5</v>
      </c>
      <c r="CH74" s="56">
        <v>19.5</v>
      </c>
      <c r="CI74" s="56">
        <v>19.5</v>
      </c>
      <c r="CJ74" s="56">
        <v>19.5</v>
      </c>
      <c r="CK74" s="56">
        <v>19.5</v>
      </c>
      <c r="CL74" s="56">
        <v>19.5</v>
      </c>
      <c r="CM74" s="56">
        <v>19.5</v>
      </c>
      <c r="CN74" s="56">
        <v>19.5</v>
      </c>
      <c r="CO74" s="56">
        <v>19.5</v>
      </c>
      <c r="CP74" s="56">
        <v>19.5</v>
      </c>
      <c r="CQ74" s="56">
        <v>19.5</v>
      </c>
      <c r="CR74" s="56">
        <v>19.5</v>
      </c>
      <c r="CS74" s="56">
        <v>19.5</v>
      </c>
      <c r="CT74" s="56">
        <v>19.5</v>
      </c>
      <c r="CU74" s="56">
        <v>19.5</v>
      </c>
      <c r="CV74" s="57">
        <v>19.5</v>
      </c>
      <c r="CW74" s="58">
        <v>19.5</v>
      </c>
      <c r="CX74" s="56">
        <v>19.5</v>
      </c>
      <c r="CY74" s="56">
        <v>19.5</v>
      </c>
      <c r="CZ74" s="56">
        <v>19.5</v>
      </c>
      <c r="DA74" s="56">
        <v>19.5</v>
      </c>
      <c r="DB74" s="56">
        <v>19.5</v>
      </c>
      <c r="DC74" s="56">
        <v>19.5</v>
      </c>
      <c r="DD74" s="56">
        <v>19.5</v>
      </c>
      <c r="DE74" s="56">
        <v>19.5</v>
      </c>
      <c r="DF74" s="56">
        <v>19.5</v>
      </c>
      <c r="DG74" s="56">
        <v>19.5</v>
      </c>
      <c r="DH74" s="56">
        <v>19.5</v>
      </c>
      <c r="DI74" s="56">
        <v>19.5</v>
      </c>
      <c r="DJ74" s="56">
        <v>19.5</v>
      </c>
      <c r="DK74" s="56">
        <v>19.5</v>
      </c>
      <c r="DL74" s="56">
        <v>19.5</v>
      </c>
      <c r="DM74" s="56">
        <v>19.5</v>
      </c>
      <c r="DN74" s="56">
        <v>19.5</v>
      </c>
      <c r="DO74" s="56">
        <v>19.5</v>
      </c>
      <c r="DP74" s="56">
        <v>19.5</v>
      </c>
      <c r="DQ74" s="56">
        <v>19.5</v>
      </c>
      <c r="DR74" s="56">
        <v>19.5</v>
      </c>
      <c r="DS74" s="56">
        <v>19.5</v>
      </c>
      <c r="DT74" s="57">
        <v>19.5</v>
      </c>
      <c r="DU74" s="58">
        <v>19.5</v>
      </c>
      <c r="DV74" s="56">
        <v>19.5</v>
      </c>
      <c r="DW74" s="56">
        <v>19.5</v>
      </c>
      <c r="DX74" s="56">
        <v>19.5</v>
      </c>
      <c r="DY74" s="56">
        <v>19.5</v>
      </c>
      <c r="DZ74" s="56">
        <v>19.5</v>
      </c>
      <c r="EA74" s="56">
        <v>19.5</v>
      </c>
      <c r="EB74" s="56">
        <v>19.5</v>
      </c>
      <c r="EC74" s="56">
        <v>19.5</v>
      </c>
      <c r="ED74" s="56">
        <v>19.5</v>
      </c>
      <c r="EE74" s="56">
        <v>19.5</v>
      </c>
      <c r="EF74" s="56">
        <v>19.5</v>
      </c>
      <c r="EG74" s="56">
        <v>19.5</v>
      </c>
      <c r="EH74" s="56">
        <v>19.5</v>
      </c>
      <c r="EI74" s="56">
        <v>19.5</v>
      </c>
      <c r="EJ74" s="56">
        <v>19.5</v>
      </c>
      <c r="EK74" s="56">
        <v>19.5</v>
      </c>
      <c r="EL74" s="56">
        <v>19.5</v>
      </c>
      <c r="EM74" s="56">
        <v>19.5</v>
      </c>
      <c r="EN74" s="56">
        <v>19.5</v>
      </c>
      <c r="EO74" s="56">
        <v>19.5</v>
      </c>
      <c r="EP74" s="56">
        <v>19.5</v>
      </c>
      <c r="EQ74" s="56">
        <v>19.5</v>
      </c>
      <c r="ER74" s="57">
        <v>19.5</v>
      </c>
      <c r="ES74" s="58">
        <v>19.5</v>
      </c>
      <c r="ET74" s="56">
        <v>19.5</v>
      </c>
      <c r="EU74" s="56">
        <v>19.5</v>
      </c>
      <c r="EV74" s="56">
        <v>19.5</v>
      </c>
      <c r="EW74" s="56">
        <v>19.5</v>
      </c>
      <c r="EX74" s="56">
        <v>19.5</v>
      </c>
      <c r="EY74" s="56">
        <v>19.5</v>
      </c>
      <c r="EZ74" s="56">
        <v>19.5</v>
      </c>
      <c r="FA74" s="56">
        <v>19.5</v>
      </c>
      <c r="FB74" s="56">
        <v>19.5</v>
      </c>
      <c r="FC74" s="56">
        <v>19.5</v>
      </c>
      <c r="FD74" s="56">
        <v>19.5</v>
      </c>
      <c r="FE74" s="56">
        <v>19.5</v>
      </c>
      <c r="FF74" s="56">
        <v>19.5</v>
      </c>
      <c r="FG74" s="56">
        <v>19.5</v>
      </c>
      <c r="FH74" s="56">
        <v>19.5</v>
      </c>
      <c r="FI74" s="56">
        <v>19.5</v>
      </c>
      <c r="FJ74" s="56">
        <v>19.5</v>
      </c>
      <c r="FK74" s="56">
        <v>19.5</v>
      </c>
      <c r="FL74" s="56">
        <v>19.5</v>
      </c>
      <c r="FM74" s="56">
        <v>19.5</v>
      </c>
      <c r="FN74" s="56">
        <v>19.5</v>
      </c>
      <c r="FO74" s="56">
        <v>19.5</v>
      </c>
      <c r="FP74" s="57">
        <v>19.5</v>
      </c>
    </row>
    <row r="75" spans="1:172" x14ac:dyDescent="0.2">
      <c r="A75" s="38" t="s">
        <v>356</v>
      </c>
      <c r="B75" s="1" t="s">
        <v>357</v>
      </c>
      <c r="C75" s="28" t="s">
        <v>255</v>
      </c>
      <c r="D75" s="1"/>
      <c r="E75" s="56">
        <v>13</v>
      </c>
      <c r="F75" s="56">
        <v>13</v>
      </c>
      <c r="G75" s="56">
        <v>13</v>
      </c>
      <c r="H75" s="56">
        <v>13</v>
      </c>
      <c r="I75" s="56">
        <v>13</v>
      </c>
      <c r="J75" s="56">
        <v>13</v>
      </c>
      <c r="K75" s="56">
        <v>13</v>
      </c>
      <c r="L75" s="56">
        <v>13</v>
      </c>
      <c r="M75" s="56">
        <v>13</v>
      </c>
      <c r="N75" s="56">
        <v>13</v>
      </c>
      <c r="O75" s="56">
        <v>13</v>
      </c>
      <c r="P75" s="56">
        <v>13</v>
      </c>
      <c r="Q75" s="56">
        <v>13</v>
      </c>
      <c r="R75" s="56">
        <v>13</v>
      </c>
      <c r="S75" s="56">
        <v>13</v>
      </c>
      <c r="T75" s="56">
        <v>13</v>
      </c>
      <c r="U75" s="56">
        <v>13</v>
      </c>
      <c r="V75" s="56">
        <v>13</v>
      </c>
      <c r="W75" s="56">
        <v>13</v>
      </c>
      <c r="X75" s="56">
        <v>13</v>
      </c>
      <c r="Y75" s="56">
        <v>13</v>
      </c>
      <c r="Z75" s="56">
        <v>13</v>
      </c>
      <c r="AA75" s="56">
        <v>13</v>
      </c>
      <c r="AB75" s="57">
        <v>13</v>
      </c>
      <c r="AC75" s="58">
        <v>13</v>
      </c>
      <c r="AD75" s="56">
        <v>13</v>
      </c>
      <c r="AE75" s="56">
        <v>13</v>
      </c>
      <c r="AF75" s="56">
        <v>13</v>
      </c>
      <c r="AG75" s="56">
        <v>13</v>
      </c>
      <c r="AH75" s="56">
        <v>13</v>
      </c>
      <c r="AI75" s="56">
        <v>13</v>
      </c>
      <c r="AJ75" s="56">
        <v>13</v>
      </c>
      <c r="AK75" s="56">
        <v>13</v>
      </c>
      <c r="AL75" s="56">
        <v>13</v>
      </c>
      <c r="AM75" s="56">
        <v>13</v>
      </c>
      <c r="AN75" s="56">
        <v>13</v>
      </c>
      <c r="AO75" s="56">
        <v>13</v>
      </c>
      <c r="AP75" s="56">
        <v>13</v>
      </c>
      <c r="AQ75" s="56">
        <v>13</v>
      </c>
      <c r="AR75" s="56">
        <v>13</v>
      </c>
      <c r="AS75" s="56">
        <v>13</v>
      </c>
      <c r="AT75" s="56">
        <v>13</v>
      </c>
      <c r="AU75" s="56">
        <v>13</v>
      </c>
      <c r="AV75" s="56">
        <v>13</v>
      </c>
      <c r="AW75" s="56">
        <v>13</v>
      </c>
      <c r="AX75" s="56">
        <v>13</v>
      </c>
      <c r="AY75" s="56">
        <v>13</v>
      </c>
      <c r="AZ75" s="57">
        <v>13</v>
      </c>
      <c r="BA75" s="58">
        <v>13</v>
      </c>
      <c r="BB75" s="56">
        <v>13</v>
      </c>
      <c r="BC75" s="56">
        <v>13</v>
      </c>
      <c r="BD75" s="56">
        <v>13</v>
      </c>
      <c r="BE75" s="56">
        <v>13</v>
      </c>
      <c r="BF75" s="56">
        <v>13</v>
      </c>
      <c r="BG75" s="56">
        <v>13</v>
      </c>
      <c r="BH75" s="56">
        <v>13</v>
      </c>
      <c r="BI75" s="56">
        <v>13</v>
      </c>
      <c r="BJ75" s="56">
        <v>13</v>
      </c>
      <c r="BK75" s="56">
        <v>13</v>
      </c>
      <c r="BL75" s="56">
        <v>13</v>
      </c>
      <c r="BM75" s="56">
        <v>13</v>
      </c>
      <c r="BN75" s="56">
        <v>13</v>
      </c>
      <c r="BO75" s="56">
        <v>13</v>
      </c>
      <c r="BP75" s="56">
        <v>13</v>
      </c>
      <c r="BQ75" s="56">
        <v>13</v>
      </c>
      <c r="BR75" s="56">
        <v>13</v>
      </c>
      <c r="BS75" s="56">
        <v>13</v>
      </c>
      <c r="BT75" s="56">
        <v>13</v>
      </c>
      <c r="BU75" s="56">
        <v>13</v>
      </c>
      <c r="BV75" s="56">
        <v>13</v>
      </c>
      <c r="BW75" s="56">
        <v>13</v>
      </c>
      <c r="BX75" s="57">
        <v>13</v>
      </c>
      <c r="BY75" s="58">
        <v>13</v>
      </c>
      <c r="BZ75" s="56">
        <v>13</v>
      </c>
      <c r="CA75" s="56">
        <v>13</v>
      </c>
      <c r="CB75" s="56">
        <v>13</v>
      </c>
      <c r="CC75" s="56">
        <v>13</v>
      </c>
      <c r="CD75" s="56">
        <v>13</v>
      </c>
      <c r="CE75" s="56">
        <v>13</v>
      </c>
      <c r="CF75" s="56">
        <v>13</v>
      </c>
      <c r="CG75" s="56">
        <v>13</v>
      </c>
      <c r="CH75" s="56">
        <v>13</v>
      </c>
      <c r="CI75" s="56">
        <v>13</v>
      </c>
      <c r="CJ75" s="56">
        <v>13</v>
      </c>
      <c r="CK75" s="56">
        <v>13</v>
      </c>
      <c r="CL75" s="56">
        <v>13</v>
      </c>
      <c r="CM75" s="56">
        <v>13</v>
      </c>
      <c r="CN75" s="56">
        <v>13</v>
      </c>
      <c r="CO75" s="56">
        <v>13</v>
      </c>
      <c r="CP75" s="56">
        <v>13</v>
      </c>
      <c r="CQ75" s="56">
        <v>13</v>
      </c>
      <c r="CR75" s="56">
        <v>13</v>
      </c>
      <c r="CS75" s="56">
        <v>13</v>
      </c>
      <c r="CT75" s="56">
        <v>13</v>
      </c>
      <c r="CU75" s="56">
        <v>13</v>
      </c>
      <c r="CV75" s="57">
        <v>13</v>
      </c>
      <c r="CW75" s="58">
        <v>13</v>
      </c>
      <c r="CX75" s="56">
        <v>13</v>
      </c>
      <c r="CY75" s="56">
        <v>13</v>
      </c>
      <c r="CZ75" s="56">
        <v>13</v>
      </c>
      <c r="DA75" s="56">
        <v>13</v>
      </c>
      <c r="DB75" s="56">
        <v>13</v>
      </c>
      <c r="DC75" s="56">
        <v>13</v>
      </c>
      <c r="DD75" s="56">
        <v>13</v>
      </c>
      <c r="DE75" s="56">
        <v>13</v>
      </c>
      <c r="DF75" s="56">
        <v>13</v>
      </c>
      <c r="DG75" s="56">
        <v>13</v>
      </c>
      <c r="DH75" s="56">
        <v>13</v>
      </c>
      <c r="DI75" s="56">
        <v>13</v>
      </c>
      <c r="DJ75" s="56">
        <v>13</v>
      </c>
      <c r="DK75" s="56">
        <v>13</v>
      </c>
      <c r="DL75" s="56">
        <v>13</v>
      </c>
      <c r="DM75" s="56">
        <v>13</v>
      </c>
      <c r="DN75" s="56">
        <v>13</v>
      </c>
      <c r="DO75" s="56">
        <v>13</v>
      </c>
      <c r="DP75" s="56">
        <v>13</v>
      </c>
      <c r="DQ75" s="56">
        <v>13</v>
      </c>
      <c r="DR75" s="56">
        <v>13</v>
      </c>
      <c r="DS75" s="56">
        <v>13</v>
      </c>
      <c r="DT75" s="57">
        <v>13</v>
      </c>
      <c r="DU75" s="58">
        <v>13</v>
      </c>
      <c r="DV75" s="56">
        <v>13</v>
      </c>
      <c r="DW75" s="56">
        <v>13</v>
      </c>
      <c r="DX75" s="56">
        <v>13</v>
      </c>
      <c r="DY75" s="56">
        <v>13</v>
      </c>
      <c r="DZ75" s="56">
        <v>13</v>
      </c>
      <c r="EA75" s="56">
        <v>13</v>
      </c>
      <c r="EB75" s="56">
        <v>13</v>
      </c>
      <c r="EC75" s="56">
        <v>13</v>
      </c>
      <c r="ED75" s="56">
        <v>13</v>
      </c>
      <c r="EE75" s="56">
        <v>13</v>
      </c>
      <c r="EF75" s="56">
        <v>13</v>
      </c>
      <c r="EG75" s="56">
        <v>13</v>
      </c>
      <c r="EH75" s="56">
        <v>13</v>
      </c>
      <c r="EI75" s="56">
        <v>13</v>
      </c>
      <c r="EJ75" s="56">
        <v>13</v>
      </c>
      <c r="EK75" s="56">
        <v>13</v>
      </c>
      <c r="EL75" s="56">
        <v>13</v>
      </c>
      <c r="EM75" s="56">
        <v>13</v>
      </c>
      <c r="EN75" s="56">
        <v>13</v>
      </c>
      <c r="EO75" s="56">
        <v>13</v>
      </c>
      <c r="EP75" s="56">
        <v>13</v>
      </c>
      <c r="EQ75" s="56">
        <v>13</v>
      </c>
      <c r="ER75" s="57">
        <v>13</v>
      </c>
      <c r="ES75" s="58">
        <v>13</v>
      </c>
      <c r="ET75" s="56">
        <v>13</v>
      </c>
      <c r="EU75" s="56">
        <v>13</v>
      </c>
      <c r="EV75" s="56">
        <v>13</v>
      </c>
      <c r="EW75" s="56">
        <v>13</v>
      </c>
      <c r="EX75" s="56">
        <v>13</v>
      </c>
      <c r="EY75" s="56">
        <v>13</v>
      </c>
      <c r="EZ75" s="56">
        <v>13</v>
      </c>
      <c r="FA75" s="56">
        <v>13</v>
      </c>
      <c r="FB75" s="56">
        <v>13</v>
      </c>
      <c r="FC75" s="56">
        <v>13</v>
      </c>
      <c r="FD75" s="56">
        <v>13</v>
      </c>
      <c r="FE75" s="56">
        <v>13</v>
      </c>
      <c r="FF75" s="56">
        <v>13</v>
      </c>
      <c r="FG75" s="56">
        <v>13</v>
      </c>
      <c r="FH75" s="56">
        <v>13</v>
      </c>
      <c r="FI75" s="56">
        <v>13</v>
      </c>
      <c r="FJ75" s="56">
        <v>13</v>
      </c>
      <c r="FK75" s="56">
        <v>13</v>
      </c>
      <c r="FL75" s="56">
        <v>13</v>
      </c>
      <c r="FM75" s="56">
        <v>13</v>
      </c>
      <c r="FN75" s="56">
        <v>13</v>
      </c>
      <c r="FO75" s="56">
        <v>13</v>
      </c>
      <c r="FP75" s="57">
        <v>13</v>
      </c>
    </row>
    <row r="76" spans="1:172" x14ac:dyDescent="0.2">
      <c r="A76" s="38" t="s">
        <v>358</v>
      </c>
      <c r="B76" s="1" t="s">
        <v>359</v>
      </c>
      <c r="C76" s="62" t="s">
        <v>261</v>
      </c>
      <c r="D76" s="1"/>
      <c r="E76" s="56">
        <v>2.8792857101985385</v>
      </c>
      <c r="F76" s="56">
        <v>3.0441428933824812</v>
      </c>
      <c r="G76" s="56">
        <v>3.0992857047489712</v>
      </c>
      <c r="H76" s="56">
        <v>3.1050000190734863</v>
      </c>
      <c r="I76" s="56">
        <v>3.0428571701049805</v>
      </c>
      <c r="J76" s="56">
        <v>2.9580000468662808</v>
      </c>
      <c r="K76" s="56">
        <v>2.8608571801866804</v>
      </c>
      <c r="L76" s="56">
        <v>2.7405714307512556</v>
      </c>
      <c r="M76" s="56">
        <v>2.6134285245622908</v>
      </c>
      <c r="N76" s="56">
        <v>2.44985716683524</v>
      </c>
      <c r="O76" s="56">
        <v>2.2458571025303433</v>
      </c>
      <c r="P76" s="56">
        <v>2.0832857234137401</v>
      </c>
      <c r="Q76" s="56">
        <v>1.8928571258272444</v>
      </c>
      <c r="R76" s="56">
        <v>1.665857127734593</v>
      </c>
      <c r="S76" s="56">
        <v>1.4252856969833374</v>
      </c>
      <c r="T76" s="56">
        <v>1.2351428781236922</v>
      </c>
      <c r="U76" s="56">
        <v>0.97514284508568905</v>
      </c>
      <c r="V76" s="56">
        <v>0.88578571166310993</v>
      </c>
      <c r="W76" s="56">
        <v>1.0356428495475225</v>
      </c>
      <c r="X76" s="56">
        <v>1.3991428358214242</v>
      </c>
      <c r="Y76" s="56">
        <v>1.8638571415628706</v>
      </c>
      <c r="Z76" s="56">
        <v>2.300714305468968</v>
      </c>
      <c r="AA76" s="56">
        <v>2.554214222090585</v>
      </c>
      <c r="AB76" s="57">
        <v>2.7827142647334506</v>
      </c>
      <c r="AC76" s="58">
        <v>2.8792857101985385</v>
      </c>
      <c r="AD76" s="56">
        <v>3.0441428933824812</v>
      </c>
      <c r="AE76" s="56">
        <v>3.0992857047489712</v>
      </c>
      <c r="AF76" s="56">
        <v>3.1050000190734863</v>
      </c>
      <c r="AG76" s="56">
        <v>3.0428571701049805</v>
      </c>
      <c r="AH76" s="56">
        <v>2.9580000468662808</v>
      </c>
      <c r="AI76" s="56">
        <v>2.8608571801866804</v>
      </c>
      <c r="AJ76" s="56">
        <v>2.7405714307512556</v>
      </c>
      <c r="AK76" s="56">
        <v>2.6134285245622908</v>
      </c>
      <c r="AL76" s="56">
        <v>2.44985716683524</v>
      </c>
      <c r="AM76" s="56">
        <v>2.2458571025303433</v>
      </c>
      <c r="AN76" s="56">
        <v>2.0832857234137401</v>
      </c>
      <c r="AO76" s="56">
        <v>1.8928571258272444</v>
      </c>
      <c r="AP76" s="56">
        <v>1.665857127734593</v>
      </c>
      <c r="AQ76" s="56">
        <v>1.4252856969833374</v>
      </c>
      <c r="AR76" s="56">
        <v>1.2351428781236922</v>
      </c>
      <c r="AS76" s="56">
        <v>0.97514284508568905</v>
      </c>
      <c r="AT76" s="56">
        <v>0.88578571166310993</v>
      </c>
      <c r="AU76" s="56">
        <v>1.0356428495475225</v>
      </c>
      <c r="AV76" s="56">
        <v>1.3991428358214242</v>
      </c>
      <c r="AW76" s="56">
        <v>1.8638571415628706</v>
      </c>
      <c r="AX76" s="56">
        <v>2.300714305468968</v>
      </c>
      <c r="AY76" s="56">
        <v>2.554214222090585</v>
      </c>
      <c r="AZ76" s="57">
        <v>2.7827142647334506</v>
      </c>
      <c r="BA76" s="58">
        <v>2.8792857101985385</v>
      </c>
      <c r="BB76" s="56">
        <v>3.0441428933824812</v>
      </c>
      <c r="BC76" s="56">
        <v>3.0992857047489712</v>
      </c>
      <c r="BD76" s="56">
        <v>3.1050000190734863</v>
      </c>
      <c r="BE76" s="56">
        <v>3.0428571701049805</v>
      </c>
      <c r="BF76" s="56">
        <v>2.9580000468662808</v>
      </c>
      <c r="BG76" s="56">
        <v>2.8608571801866804</v>
      </c>
      <c r="BH76" s="56">
        <v>2.7405714307512556</v>
      </c>
      <c r="BI76" s="56">
        <v>2.6134285245622908</v>
      </c>
      <c r="BJ76" s="56">
        <v>2.44985716683524</v>
      </c>
      <c r="BK76" s="56">
        <v>2.2458571025303433</v>
      </c>
      <c r="BL76" s="56">
        <v>2.0832857234137401</v>
      </c>
      <c r="BM76" s="56">
        <v>1.8928571258272444</v>
      </c>
      <c r="BN76" s="56">
        <v>1.665857127734593</v>
      </c>
      <c r="BO76" s="56">
        <v>1.4252856969833374</v>
      </c>
      <c r="BP76" s="56">
        <v>1.2351428781236922</v>
      </c>
      <c r="BQ76" s="56">
        <v>0.97514284508568905</v>
      </c>
      <c r="BR76" s="56">
        <v>0.88578571166310993</v>
      </c>
      <c r="BS76" s="56">
        <v>1.0356428495475225</v>
      </c>
      <c r="BT76" s="56">
        <v>1.3991428358214242</v>
      </c>
      <c r="BU76" s="56">
        <v>1.8638571415628706</v>
      </c>
      <c r="BV76" s="56">
        <v>2.300714305468968</v>
      </c>
      <c r="BW76" s="56">
        <v>2.554214222090585</v>
      </c>
      <c r="BX76" s="57">
        <v>2.7827142647334506</v>
      </c>
      <c r="BY76" s="58">
        <v>2.8792857101985385</v>
      </c>
      <c r="BZ76" s="56">
        <v>3.0441428933824812</v>
      </c>
      <c r="CA76" s="56">
        <v>3.0992857047489712</v>
      </c>
      <c r="CB76" s="56">
        <v>3.1050000190734863</v>
      </c>
      <c r="CC76" s="56">
        <v>3.0428571701049805</v>
      </c>
      <c r="CD76" s="56">
        <v>2.9580000468662808</v>
      </c>
      <c r="CE76" s="56">
        <v>2.8608571801866804</v>
      </c>
      <c r="CF76" s="56">
        <v>2.7405714307512556</v>
      </c>
      <c r="CG76" s="56">
        <v>2.6134285245622908</v>
      </c>
      <c r="CH76" s="56">
        <v>2.44985716683524</v>
      </c>
      <c r="CI76" s="56">
        <v>2.2458571025303433</v>
      </c>
      <c r="CJ76" s="56">
        <v>2.0832857234137401</v>
      </c>
      <c r="CK76" s="56">
        <v>1.8928571258272444</v>
      </c>
      <c r="CL76" s="56">
        <v>1.665857127734593</v>
      </c>
      <c r="CM76" s="56">
        <v>1.4252856969833374</v>
      </c>
      <c r="CN76" s="56">
        <v>1.2351428781236922</v>
      </c>
      <c r="CO76" s="56">
        <v>0.97514284508568905</v>
      </c>
      <c r="CP76" s="56">
        <v>0.88578571166310993</v>
      </c>
      <c r="CQ76" s="56">
        <v>1.0356428495475225</v>
      </c>
      <c r="CR76" s="56">
        <v>1.3991428358214242</v>
      </c>
      <c r="CS76" s="56">
        <v>1.8638571415628706</v>
      </c>
      <c r="CT76" s="56">
        <v>2.300714305468968</v>
      </c>
      <c r="CU76" s="56">
        <v>2.554214222090585</v>
      </c>
      <c r="CV76" s="57">
        <v>2.7827142647334506</v>
      </c>
      <c r="CW76" s="58">
        <v>2.8792857101985385</v>
      </c>
      <c r="CX76" s="56">
        <v>3.0441428933824812</v>
      </c>
      <c r="CY76" s="56">
        <v>3.0992857047489712</v>
      </c>
      <c r="CZ76" s="56">
        <v>3.1050000190734863</v>
      </c>
      <c r="DA76" s="56">
        <v>3.0428571701049805</v>
      </c>
      <c r="DB76" s="56">
        <v>2.9580000468662808</v>
      </c>
      <c r="DC76" s="56">
        <v>2.8608571801866804</v>
      </c>
      <c r="DD76" s="56">
        <v>2.7405714307512556</v>
      </c>
      <c r="DE76" s="56">
        <v>2.6134285245622908</v>
      </c>
      <c r="DF76" s="56">
        <v>2.44985716683524</v>
      </c>
      <c r="DG76" s="56">
        <v>2.2458571025303433</v>
      </c>
      <c r="DH76" s="56">
        <v>2.0832857234137401</v>
      </c>
      <c r="DI76" s="56">
        <v>1.8928571258272444</v>
      </c>
      <c r="DJ76" s="56">
        <v>1.665857127734593</v>
      </c>
      <c r="DK76" s="56">
        <v>1.4252856969833374</v>
      </c>
      <c r="DL76" s="56">
        <v>1.2351428781236922</v>
      </c>
      <c r="DM76" s="56">
        <v>0.97514284508568905</v>
      </c>
      <c r="DN76" s="56">
        <v>0.88578571166310993</v>
      </c>
      <c r="DO76" s="56">
        <v>1.0356428495475225</v>
      </c>
      <c r="DP76" s="56">
        <v>1.3991428358214242</v>
      </c>
      <c r="DQ76" s="56">
        <v>1.8638571415628706</v>
      </c>
      <c r="DR76" s="56">
        <v>2.300714305468968</v>
      </c>
      <c r="DS76" s="56">
        <v>2.554214222090585</v>
      </c>
      <c r="DT76" s="57">
        <v>2.7827142647334506</v>
      </c>
      <c r="DU76" s="58">
        <v>2.8792857101985385</v>
      </c>
      <c r="DV76" s="56">
        <v>3.0441428933824812</v>
      </c>
      <c r="DW76" s="56">
        <v>3.0992857047489712</v>
      </c>
      <c r="DX76" s="56">
        <v>3.1050000190734863</v>
      </c>
      <c r="DY76" s="56">
        <v>3.0428571701049805</v>
      </c>
      <c r="DZ76" s="56">
        <v>2.9580000468662808</v>
      </c>
      <c r="EA76" s="56">
        <v>2.8608571801866804</v>
      </c>
      <c r="EB76" s="56">
        <v>2.7405714307512556</v>
      </c>
      <c r="EC76" s="56">
        <v>2.6134285245622908</v>
      </c>
      <c r="ED76" s="56">
        <v>2.44985716683524</v>
      </c>
      <c r="EE76" s="56">
        <v>2.2458571025303433</v>
      </c>
      <c r="EF76" s="56">
        <v>2.0832857234137401</v>
      </c>
      <c r="EG76" s="56">
        <v>1.8928571258272444</v>
      </c>
      <c r="EH76" s="56">
        <v>1.665857127734593</v>
      </c>
      <c r="EI76" s="56">
        <v>1.4252856969833374</v>
      </c>
      <c r="EJ76" s="56">
        <v>1.2351428781236922</v>
      </c>
      <c r="EK76" s="56">
        <v>0.97514284508568905</v>
      </c>
      <c r="EL76" s="56">
        <v>0.88578571166310993</v>
      </c>
      <c r="EM76" s="56">
        <v>1.0356428495475225</v>
      </c>
      <c r="EN76" s="56">
        <v>1.3991428358214242</v>
      </c>
      <c r="EO76" s="56">
        <v>1.8638571415628706</v>
      </c>
      <c r="EP76" s="56">
        <v>2.300714305468968</v>
      </c>
      <c r="EQ76" s="56">
        <v>2.554214222090585</v>
      </c>
      <c r="ER76" s="57">
        <v>2.7827142647334506</v>
      </c>
      <c r="ES76" s="58">
        <v>2.8792857101985385</v>
      </c>
      <c r="ET76" s="56">
        <v>3.0441428933824812</v>
      </c>
      <c r="EU76" s="56">
        <v>3.0992857047489712</v>
      </c>
      <c r="EV76" s="56">
        <v>3.1050000190734863</v>
      </c>
      <c r="EW76" s="56">
        <v>3.0428571701049805</v>
      </c>
      <c r="EX76" s="56">
        <v>2.9580000468662808</v>
      </c>
      <c r="EY76" s="56">
        <v>2.8608571801866804</v>
      </c>
      <c r="EZ76" s="56">
        <v>2.7405714307512556</v>
      </c>
      <c r="FA76" s="56">
        <v>2.6134285245622908</v>
      </c>
      <c r="FB76" s="56">
        <v>2.44985716683524</v>
      </c>
      <c r="FC76" s="56">
        <v>2.2458571025303433</v>
      </c>
      <c r="FD76" s="56">
        <v>2.0832857234137401</v>
      </c>
      <c r="FE76" s="56">
        <v>1.8928571258272444</v>
      </c>
      <c r="FF76" s="56">
        <v>1.665857127734593</v>
      </c>
      <c r="FG76" s="56">
        <v>1.4252856969833374</v>
      </c>
      <c r="FH76" s="56">
        <v>1.2351428781236922</v>
      </c>
      <c r="FI76" s="56">
        <v>0.97514284508568905</v>
      </c>
      <c r="FJ76" s="56">
        <v>0.88578571166310993</v>
      </c>
      <c r="FK76" s="56">
        <v>1.0356428495475225</v>
      </c>
      <c r="FL76" s="56">
        <v>1.3991428358214242</v>
      </c>
      <c r="FM76" s="56">
        <v>1.8638571415628706</v>
      </c>
      <c r="FN76" s="56">
        <v>2.300714305468968</v>
      </c>
      <c r="FO76" s="56">
        <v>2.554214222090585</v>
      </c>
      <c r="FP76" s="57">
        <v>2.7827142647334506</v>
      </c>
    </row>
    <row r="77" spans="1:172" ht="19" thickBot="1" x14ac:dyDescent="0.3">
      <c r="A77" s="38"/>
      <c r="B77" s="8"/>
      <c r="C77" s="8"/>
      <c r="D77" s="8"/>
      <c r="E77" s="8" t="s">
        <v>276</v>
      </c>
      <c r="F77" s="8" t="s">
        <v>277</v>
      </c>
      <c r="G77" s="8" t="s">
        <v>278</v>
      </c>
      <c r="H77" s="8" t="s">
        <v>279</v>
      </c>
      <c r="I77" s="8" t="s">
        <v>280</v>
      </c>
      <c r="J77" s="8" t="s">
        <v>281</v>
      </c>
      <c r="K77" s="8" t="s">
        <v>282</v>
      </c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4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4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4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4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4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4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3"/>
      <c r="FE77" s="63"/>
      <c r="FF77" s="63"/>
      <c r="FG77" s="63"/>
      <c r="FH77" s="63"/>
      <c r="FI77" s="63"/>
      <c r="FJ77" s="63"/>
      <c r="FK77" s="63"/>
      <c r="FL77" s="63"/>
      <c r="FM77" s="63"/>
      <c r="FN77" s="63"/>
      <c r="FO77" s="63"/>
      <c r="FP77" s="63"/>
    </row>
    <row r="78" spans="1:172" ht="16" thickTop="1" x14ac:dyDescent="0.2">
      <c r="A78" s="38" t="s">
        <v>360</v>
      </c>
      <c r="B78" s="1" t="s">
        <v>361</v>
      </c>
      <c r="C78" s="65" t="s">
        <v>255</v>
      </c>
      <c r="D78" s="66"/>
      <c r="E78" s="56">
        <v>15.5</v>
      </c>
      <c r="F78" s="56">
        <v>15.5</v>
      </c>
      <c r="G78" s="56">
        <v>15.5</v>
      </c>
      <c r="H78" s="56">
        <v>15.5</v>
      </c>
      <c r="I78" s="56">
        <v>15.5</v>
      </c>
      <c r="J78" s="56">
        <v>15.5</v>
      </c>
      <c r="K78" s="56">
        <v>15.5</v>
      </c>
    </row>
    <row r="79" spans="1:172" x14ac:dyDescent="0.2">
      <c r="A79" s="38" t="s">
        <v>362</v>
      </c>
      <c r="B79" s="1" t="s">
        <v>363</v>
      </c>
      <c r="C79" s="28" t="s">
        <v>261</v>
      </c>
      <c r="D79" s="67"/>
      <c r="E79" s="68">
        <v>2.2141160698873654</v>
      </c>
      <c r="F79" s="68">
        <v>2.2141160698873654</v>
      </c>
      <c r="G79" s="68">
        <v>2.2141160698873654</v>
      </c>
      <c r="H79" s="68">
        <v>2.2141160698873654</v>
      </c>
      <c r="I79" s="68">
        <v>2.2141160698873654</v>
      </c>
      <c r="J79" s="68">
        <v>2.2141160698873654</v>
      </c>
      <c r="K79" s="68">
        <v>2.2141160698873654</v>
      </c>
    </row>
    <row r="81" spans="1:172" ht="21" thickBot="1" x14ac:dyDescent="0.3">
      <c r="A81" s="7" t="s">
        <v>364</v>
      </c>
      <c r="B81" s="21" t="s">
        <v>1</v>
      </c>
      <c r="C81" s="8" t="s">
        <v>2</v>
      </c>
      <c r="D81" s="21"/>
      <c r="E81" s="8" t="s">
        <v>4</v>
      </c>
      <c r="F81" s="8" t="s">
        <v>5</v>
      </c>
      <c r="G81" s="8" t="s">
        <v>6</v>
      </c>
      <c r="H81" s="8" t="s">
        <v>7</v>
      </c>
      <c r="I81" s="8" t="s">
        <v>8</v>
      </c>
      <c r="J81" s="8" t="s">
        <v>9</v>
      </c>
      <c r="K81" s="8" t="s">
        <v>10</v>
      </c>
      <c r="L81" s="8" t="s">
        <v>11</v>
      </c>
      <c r="M81" s="8" t="s">
        <v>12</v>
      </c>
      <c r="N81" s="8" t="s">
        <v>13</v>
      </c>
      <c r="O81" s="8" t="s">
        <v>14</v>
      </c>
      <c r="P81" s="8" t="s">
        <v>15</v>
      </c>
      <c r="Q81" s="8" t="s">
        <v>16</v>
      </c>
      <c r="R81" s="8" t="s">
        <v>17</v>
      </c>
      <c r="S81" s="8" t="s">
        <v>18</v>
      </c>
      <c r="T81" s="8" t="s">
        <v>19</v>
      </c>
      <c r="U81" s="8" t="s">
        <v>20</v>
      </c>
      <c r="V81" s="8" t="s">
        <v>21</v>
      </c>
      <c r="W81" s="8" t="s">
        <v>22</v>
      </c>
      <c r="X81" s="8" t="s">
        <v>23</v>
      </c>
      <c r="Y81" s="8" t="s">
        <v>24</v>
      </c>
      <c r="Z81" s="8" t="s">
        <v>25</v>
      </c>
      <c r="AA81" s="8" t="s">
        <v>26</v>
      </c>
      <c r="AB81" s="8" t="s">
        <v>27</v>
      </c>
      <c r="AC81" s="46" t="s">
        <v>28</v>
      </c>
      <c r="AD81" s="8" t="s">
        <v>29</v>
      </c>
      <c r="AE81" s="8" t="s">
        <v>30</v>
      </c>
      <c r="AF81" s="8" t="s">
        <v>31</v>
      </c>
      <c r="AG81" s="8" t="s">
        <v>32</v>
      </c>
      <c r="AH81" s="8" t="s">
        <v>33</v>
      </c>
      <c r="AI81" s="8" t="s">
        <v>34</v>
      </c>
      <c r="AJ81" s="8" t="s">
        <v>35</v>
      </c>
      <c r="AK81" s="8" t="s">
        <v>36</v>
      </c>
      <c r="AL81" s="8" t="s">
        <v>37</v>
      </c>
      <c r="AM81" s="8" t="s">
        <v>38</v>
      </c>
      <c r="AN81" s="8" t="s">
        <v>39</v>
      </c>
      <c r="AO81" s="8" t="s">
        <v>40</v>
      </c>
      <c r="AP81" s="8" t="s">
        <v>41</v>
      </c>
      <c r="AQ81" s="8" t="s">
        <v>42</v>
      </c>
      <c r="AR81" s="8" t="s">
        <v>43</v>
      </c>
      <c r="AS81" s="8" t="s">
        <v>44</v>
      </c>
      <c r="AT81" s="8" t="s">
        <v>45</v>
      </c>
      <c r="AU81" s="8" t="s">
        <v>46</v>
      </c>
      <c r="AV81" s="8" t="s">
        <v>47</v>
      </c>
      <c r="AW81" s="8" t="s">
        <v>48</v>
      </c>
      <c r="AX81" s="8" t="s">
        <v>49</v>
      </c>
      <c r="AY81" s="8" t="s">
        <v>50</v>
      </c>
      <c r="AZ81" s="8" t="s">
        <v>51</v>
      </c>
      <c r="BA81" s="46" t="s">
        <v>52</v>
      </c>
      <c r="BB81" s="8" t="s">
        <v>53</v>
      </c>
      <c r="BC81" s="8" t="s">
        <v>54</v>
      </c>
      <c r="BD81" s="8" t="s">
        <v>55</v>
      </c>
      <c r="BE81" s="8" t="s">
        <v>56</v>
      </c>
      <c r="BF81" s="8" t="s">
        <v>57</v>
      </c>
      <c r="BG81" s="8" t="s">
        <v>58</v>
      </c>
      <c r="BH81" s="8" t="s">
        <v>59</v>
      </c>
      <c r="BI81" s="8" t="s">
        <v>60</v>
      </c>
      <c r="BJ81" s="8" t="s">
        <v>61</v>
      </c>
      <c r="BK81" s="8" t="s">
        <v>62</v>
      </c>
      <c r="BL81" s="8" t="s">
        <v>63</v>
      </c>
      <c r="BM81" s="8" t="s">
        <v>64</v>
      </c>
      <c r="BN81" s="8" t="s">
        <v>65</v>
      </c>
      <c r="BO81" s="8" t="s">
        <v>66</v>
      </c>
      <c r="BP81" s="8" t="s">
        <v>67</v>
      </c>
      <c r="BQ81" s="8" t="s">
        <v>68</v>
      </c>
      <c r="BR81" s="8" t="s">
        <v>69</v>
      </c>
      <c r="BS81" s="8" t="s">
        <v>70</v>
      </c>
      <c r="BT81" s="8" t="s">
        <v>71</v>
      </c>
      <c r="BU81" s="8" t="s">
        <v>72</v>
      </c>
      <c r="BV81" s="8" t="s">
        <v>73</v>
      </c>
      <c r="BW81" s="8" t="s">
        <v>74</v>
      </c>
      <c r="BX81" s="8" t="s">
        <v>75</v>
      </c>
      <c r="BY81" s="46" t="s">
        <v>76</v>
      </c>
      <c r="BZ81" s="8" t="s">
        <v>77</v>
      </c>
      <c r="CA81" s="8" t="s">
        <v>78</v>
      </c>
      <c r="CB81" s="8" t="s">
        <v>79</v>
      </c>
      <c r="CC81" s="8" t="s">
        <v>80</v>
      </c>
      <c r="CD81" s="8" t="s">
        <v>81</v>
      </c>
      <c r="CE81" s="8" t="s">
        <v>82</v>
      </c>
      <c r="CF81" s="8" t="s">
        <v>83</v>
      </c>
      <c r="CG81" s="8" t="s">
        <v>84</v>
      </c>
      <c r="CH81" s="8" t="s">
        <v>85</v>
      </c>
      <c r="CI81" s="8" t="s">
        <v>86</v>
      </c>
      <c r="CJ81" s="8" t="s">
        <v>87</v>
      </c>
      <c r="CK81" s="8" t="s">
        <v>88</v>
      </c>
      <c r="CL81" s="8" t="s">
        <v>89</v>
      </c>
      <c r="CM81" s="8" t="s">
        <v>90</v>
      </c>
      <c r="CN81" s="8" t="s">
        <v>91</v>
      </c>
      <c r="CO81" s="8" t="s">
        <v>92</v>
      </c>
      <c r="CP81" s="8" t="s">
        <v>93</v>
      </c>
      <c r="CQ81" s="8" t="s">
        <v>94</v>
      </c>
      <c r="CR81" s="8" t="s">
        <v>95</v>
      </c>
      <c r="CS81" s="8" t="s">
        <v>96</v>
      </c>
      <c r="CT81" s="8" t="s">
        <v>97</v>
      </c>
      <c r="CU81" s="8" t="s">
        <v>98</v>
      </c>
      <c r="CV81" s="8" t="s">
        <v>99</v>
      </c>
      <c r="CW81" s="46" t="s">
        <v>100</v>
      </c>
      <c r="CX81" s="8" t="s">
        <v>101</v>
      </c>
      <c r="CY81" s="8" t="s">
        <v>102</v>
      </c>
      <c r="CZ81" s="8" t="s">
        <v>103</v>
      </c>
      <c r="DA81" s="8" t="s">
        <v>104</v>
      </c>
      <c r="DB81" s="8" t="s">
        <v>105</v>
      </c>
      <c r="DC81" s="8" t="s">
        <v>106</v>
      </c>
      <c r="DD81" s="8" t="s">
        <v>107</v>
      </c>
      <c r="DE81" s="8" t="s">
        <v>108</v>
      </c>
      <c r="DF81" s="8" t="s">
        <v>109</v>
      </c>
      <c r="DG81" s="8" t="s">
        <v>110</v>
      </c>
      <c r="DH81" s="8" t="s">
        <v>111</v>
      </c>
      <c r="DI81" s="8" t="s">
        <v>112</v>
      </c>
      <c r="DJ81" s="8" t="s">
        <v>113</v>
      </c>
      <c r="DK81" s="8" t="s">
        <v>114</v>
      </c>
      <c r="DL81" s="8" t="s">
        <v>115</v>
      </c>
      <c r="DM81" s="8" t="s">
        <v>116</v>
      </c>
      <c r="DN81" s="8" t="s">
        <v>117</v>
      </c>
      <c r="DO81" s="8" t="s">
        <v>118</v>
      </c>
      <c r="DP81" s="8" t="s">
        <v>119</v>
      </c>
      <c r="DQ81" s="8" t="s">
        <v>120</v>
      </c>
      <c r="DR81" s="8" t="s">
        <v>121</v>
      </c>
      <c r="DS81" s="8" t="s">
        <v>122</v>
      </c>
      <c r="DT81" s="8" t="s">
        <v>123</v>
      </c>
      <c r="DU81" s="46" t="s">
        <v>124</v>
      </c>
      <c r="DV81" s="8" t="s">
        <v>125</v>
      </c>
      <c r="DW81" s="8" t="s">
        <v>126</v>
      </c>
      <c r="DX81" s="8" t="s">
        <v>127</v>
      </c>
      <c r="DY81" s="8" t="s">
        <v>128</v>
      </c>
      <c r="DZ81" s="8" t="s">
        <v>129</v>
      </c>
      <c r="EA81" s="8" t="s">
        <v>130</v>
      </c>
      <c r="EB81" s="8" t="s">
        <v>131</v>
      </c>
      <c r="EC81" s="8" t="s">
        <v>132</v>
      </c>
      <c r="ED81" s="8" t="s">
        <v>133</v>
      </c>
      <c r="EE81" s="8" t="s">
        <v>134</v>
      </c>
      <c r="EF81" s="8" t="s">
        <v>135</v>
      </c>
      <c r="EG81" s="8" t="s">
        <v>136</v>
      </c>
      <c r="EH81" s="8" t="s">
        <v>137</v>
      </c>
      <c r="EI81" s="8" t="s">
        <v>138</v>
      </c>
      <c r="EJ81" s="8" t="s">
        <v>139</v>
      </c>
      <c r="EK81" s="8" t="s">
        <v>140</v>
      </c>
      <c r="EL81" s="8" t="s">
        <v>141</v>
      </c>
      <c r="EM81" s="8" t="s">
        <v>142</v>
      </c>
      <c r="EN81" s="8" t="s">
        <v>143</v>
      </c>
      <c r="EO81" s="8" t="s">
        <v>144</v>
      </c>
      <c r="EP81" s="8" t="s">
        <v>145</v>
      </c>
      <c r="EQ81" s="8" t="s">
        <v>146</v>
      </c>
      <c r="ER81" s="8" t="s">
        <v>147</v>
      </c>
      <c r="ES81" s="46" t="s">
        <v>148</v>
      </c>
      <c r="ET81" s="8" t="s">
        <v>149</v>
      </c>
      <c r="EU81" s="8" t="s">
        <v>150</v>
      </c>
      <c r="EV81" s="8" t="s">
        <v>151</v>
      </c>
      <c r="EW81" s="8" t="s">
        <v>152</v>
      </c>
      <c r="EX81" s="8" t="s">
        <v>153</v>
      </c>
      <c r="EY81" s="8" t="s">
        <v>154</v>
      </c>
      <c r="EZ81" s="8" t="s">
        <v>155</v>
      </c>
      <c r="FA81" s="8" t="s">
        <v>156</v>
      </c>
      <c r="FB81" s="8" t="s">
        <v>157</v>
      </c>
      <c r="FC81" s="8" t="s">
        <v>158</v>
      </c>
      <c r="FD81" s="8" t="s">
        <v>159</v>
      </c>
      <c r="FE81" s="8" t="s">
        <v>160</v>
      </c>
      <c r="FF81" s="8" t="s">
        <v>161</v>
      </c>
      <c r="FG81" s="8" t="s">
        <v>162</v>
      </c>
      <c r="FH81" s="8" t="s">
        <v>163</v>
      </c>
      <c r="FI81" s="8" t="s">
        <v>164</v>
      </c>
      <c r="FJ81" s="8" t="s">
        <v>165</v>
      </c>
      <c r="FK81" s="8" t="s">
        <v>166</v>
      </c>
      <c r="FL81" s="8" t="s">
        <v>167</v>
      </c>
      <c r="FM81" s="8" t="s">
        <v>168</v>
      </c>
      <c r="FN81" s="8" t="s">
        <v>169</v>
      </c>
      <c r="FO81" s="8" t="s">
        <v>170</v>
      </c>
      <c r="FP81" s="8" t="s">
        <v>171</v>
      </c>
    </row>
    <row r="82" spans="1:172" ht="16" thickTop="1" x14ac:dyDescent="0.2">
      <c r="A82" s="6" t="s">
        <v>365</v>
      </c>
      <c r="B82" s="1" t="s">
        <v>366</v>
      </c>
      <c r="C82" s="28" t="s">
        <v>252</v>
      </c>
      <c r="D82" s="52"/>
      <c r="E82" s="56">
        <v>10</v>
      </c>
      <c r="F82" s="56">
        <v>10</v>
      </c>
      <c r="G82" s="56">
        <v>10</v>
      </c>
      <c r="H82" s="56">
        <v>10</v>
      </c>
      <c r="I82" s="56">
        <v>10</v>
      </c>
      <c r="J82" s="56">
        <v>10</v>
      </c>
      <c r="K82" s="56">
        <v>10</v>
      </c>
      <c r="L82" s="56">
        <v>10</v>
      </c>
      <c r="M82" s="56">
        <v>10</v>
      </c>
      <c r="N82" s="56">
        <v>10</v>
      </c>
      <c r="O82" s="56">
        <v>10</v>
      </c>
      <c r="P82" s="56">
        <v>10</v>
      </c>
      <c r="Q82" s="56">
        <v>10</v>
      </c>
      <c r="R82" s="56">
        <v>10</v>
      </c>
      <c r="S82" s="56">
        <v>10</v>
      </c>
      <c r="T82" s="56">
        <v>10</v>
      </c>
      <c r="U82" s="56">
        <v>10</v>
      </c>
      <c r="V82" s="56">
        <v>10</v>
      </c>
      <c r="W82" s="56">
        <v>10</v>
      </c>
      <c r="X82" s="56">
        <v>10</v>
      </c>
      <c r="Y82" s="56">
        <v>10</v>
      </c>
      <c r="Z82" s="56">
        <v>10</v>
      </c>
      <c r="AA82" s="56">
        <v>10</v>
      </c>
      <c r="AB82" s="56">
        <v>10</v>
      </c>
      <c r="AC82" s="56">
        <v>10</v>
      </c>
      <c r="AD82" s="56">
        <v>10</v>
      </c>
      <c r="AE82" s="56">
        <v>10</v>
      </c>
      <c r="AF82" s="56">
        <v>10</v>
      </c>
      <c r="AG82" s="56">
        <v>10</v>
      </c>
      <c r="AH82" s="56">
        <v>10</v>
      </c>
      <c r="AI82" s="56">
        <v>10</v>
      </c>
      <c r="AJ82" s="56">
        <v>10</v>
      </c>
      <c r="AK82" s="56">
        <v>10</v>
      </c>
      <c r="AL82" s="56">
        <v>10</v>
      </c>
      <c r="AM82" s="56">
        <v>10</v>
      </c>
      <c r="AN82" s="56">
        <v>10</v>
      </c>
      <c r="AO82" s="56">
        <v>10</v>
      </c>
      <c r="AP82" s="56">
        <v>10</v>
      </c>
      <c r="AQ82" s="56">
        <v>10</v>
      </c>
      <c r="AR82" s="56">
        <v>10</v>
      </c>
      <c r="AS82" s="56">
        <v>10</v>
      </c>
      <c r="AT82" s="56">
        <v>10</v>
      </c>
      <c r="AU82" s="56">
        <v>10</v>
      </c>
      <c r="AV82" s="56">
        <v>10</v>
      </c>
      <c r="AW82" s="56">
        <v>10</v>
      </c>
      <c r="AX82" s="56">
        <v>10</v>
      </c>
      <c r="AY82" s="56">
        <v>10</v>
      </c>
      <c r="AZ82" s="56">
        <v>10</v>
      </c>
      <c r="BA82" s="56">
        <v>10</v>
      </c>
      <c r="BB82" s="56">
        <v>10</v>
      </c>
      <c r="BC82" s="56">
        <v>10</v>
      </c>
      <c r="BD82" s="56">
        <v>10</v>
      </c>
      <c r="BE82" s="56">
        <v>10</v>
      </c>
      <c r="BF82" s="56">
        <v>10</v>
      </c>
      <c r="BG82" s="56">
        <v>10</v>
      </c>
      <c r="BH82" s="56">
        <v>10</v>
      </c>
      <c r="BI82" s="56">
        <v>10</v>
      </c>
      <c r="BJ82" s="56">
        <v>10</v>
      </c>
      <c r="BK82" s="56">
        <v>10</v>
      </c>
      <c r="BL82" s="56">
        <v>10</v>
      </c>
      <c r="BM82" s="56">
        <v>10</v>
      </c>
      <c r="BN82" s="56">
        <v>10</v>
      </c>
      <c r="BO82" s="56">
        <v>10</v>
      </c>
      <c r="BP82" s="56">
        <v>10</v>
      </c>
      <c r="BQ82" s="56">
        <v>10</v>
      </c>
      <c r="BR82" s="56">
        <v>10</v>
      </c>
      <c r="BS82" s="56">
        <v>10</v>
      </c>
      <c r="BT82" s="56">
        <v>10</v>
      </c>
      <c r="BU82" s="56">
        <v>10</v>
      </c>
      <c r="BV82" s="56">
        <v>10</v>
      </c>
      <c r="BW82" s="56">
        <v>10</v>
      </c>
      <c r="BX82" s="56">
        <v>10</v>
      </c>
      <c r="BY82" s="56">
        <v>10</v>
      </c>
      <c r="BZ82" s="56">
        <v>10</v>
      </c>
      <c r="CA82" s="56">
        <v>10</v>
      </c>
      <c r="CB82" s="56">
        <v>10</v>
      </c>
      <c r="CC82" s="56">
        <v>10</v>
      </c>
      <c r="CD82" s="56">
        <v>10</v>
      </c>
      <c r="CE82" s="56">
        <v>10</v>
      </c>
      <c r="CF82" s="56">
        <v>10</v>
      </c>
      <c r="CG82" s="56">
        <v>10</v>
      </c>
      <c r="CH82" s="56">
        <v>10</v>
      </c>
      <c r="CI82" s="56">
        <v>10</v>
      </c>
      <c r="CJ82" s="56">
        <v>10</v>
      </c>
      <c r="CK82" s="56">
        <v>10</v>
      </c>
      <c r="CL82" s="56">
        <v>10</v>
      </c>
      <c r="CM82" s="56">
        <v>10</v>
      </c>
      <c r="CN82" s="56">
        <v>10</v>
      </c>
      <c r="CO82" s="56">
        <v>10</v>
      </c>
      <c r="CP82" s="56">
        <v>10</v>
      </c>
      <c r="CQ82" s="56">
        <v>10</v>
      </c>
      <c r="CR82" s="56">
        <v>10</v>
      </c>
      <c r="CS82" s="56">
        <v>10</v>
      </c>
      <c r="CT82" s="56">
        <v>10</v>
      </c>
      <c r="CU82" s="56">
        <v>10</v>
      </c>
      <c r="CV82" s="56">
        <v>10</v>
      </c>
      <c r="CW82" s="56">
        <v>10</v>
      </c>
      <c r="CX82" s="56">
        <v>10</v>
      </c>
      <c r="CY82" s="56">
        <v>10</v>
      </c>
      <c r="CZ82" s="56">
        <v>10</v>
      </c>
      <c r="DA82" s="56">
        <v>10</v>
      </c>
      <c r="DB82" s="56">
        <v>10</v>
      </c>
      <c r="DC82" s="56">
        <v>10</v>
      </c>
      <c r="DD82" s="56">
        <v>10</v>
      </c>
      <c r="DE82" s="56">
        <v>10</v>
      </c>
      <c r="DF82" s="56">
        <v>10</v>
      </c>
      <c r="DG82" s="56">
        <v>10</v>
      </c>
      <c r="DH82" s="56">
        <v>10</v>
      </c>
      <c r="DI82" s="56">
        <v>10</v>
      </c>
      <c r="DJ82" s="56">
        <v>10</v>
      </c>
      <c r="DK82" s="56">
        <v>10</v>
      </c>
      <c r="DL82" s="56">
        <v>10</v>
      </c>
      <c r="DM82" s="56">
        <v>10</v>
      </c>
      <c r="DN82" s="56">
        <v>10</v>
      </c>
      <c r="DO82" s="56">
        <v>10</v>
      </c>
      <c r="DP82" s="56">
        <v>10</v>
      </c>
      <c r="DQ82" s="56">
        <v>10</v>
      </c>
      <c r="DR82" s="56">
        <v>10</v>
      </c>
      <c r="DS82" s="56">
        <v>10</v>
      </c>
      <c r="DT82" s="56">
        <v>10</v>
      </c>
      <c r="DU82" s="56">
        <v>10</v>
      </c>
      <c r="DV82" s="56">
        <v>10</v>
      </c>
      <c r="DW82" s="56">
        <v>10</v>
      </c>
      <c r="DX82" s="56">
        <v>10</v>
      </c>
      <c r="DY82" s="56">
        <v>10</v>
      </c>
      <c r="DZ82" s="56">
        <v>10</v>
      </c>
      <c r="EA82" s="56">
        <v>10</v>
      </c>
      <c r="EB82" s="56">
        <v>10</v>
      </c>
      <c r="EC82" s="56">
        <v>10</v>
      </c>
      <c r="ED82" s="56">
        <v>10</v>
      </c>
      <c r="EE82" s="56">
        <v>10</v>
      </c>
      <c r="EF82" s="56">
        <v>10</v>
      </c>
      <c r="EG82" s="56">
        <v>10</v>
      </c>
      <c r="EH82" s="56">
        <v>10</v>
      </c>
      <c r="EI82" s="56">
        <v>10</v>
      </c>
      <c r="EJ82" s="56">
        <v>10</v>
      </c>
      <c r="EK82" s="56">
        <v>10</v>
      </c>
      <c r="EL82" s="56">
        <v>10</v>
      </c>
      <c r="EM82" s="56">
        <v>10</v>
      </c>
      <c r="EN82" s="56">
        <v>10</v>
      </c>
      <c r="EO82" s="56">
        <v>10</v>
      </c>
      <c r="EP82" s="56">
        <v>10</v>
      </c>
      <c r="EQ82" s="56">
        <v>10</v>
      </c>
      <c r="ER82" s="56">
        <v>10</v>
      </c>
      <c r="ES82" s="56">
        <v>10</v>
      </c>
      <c r="ET82" s="56">
        <v>10</v>
      </c>
      <c r="EU82" s="56">
        <v>10</v>
      </c>
      <c r="EV82" s="56">
        <v>10</v>
      </c>
      <c r="EW82" s="56">
        <v>10</v>
      </c>
      <c r="EX82" s="56">
        <v>10</v>
      </c>
      <c r="EY82" s="56">
        <v>10</v>
      </c>
      <c r="EZ82" s="56">
        <v>10</v>
      </c>
      <c r="FA82" s="56">
        <v>10</v>
      </c>
      <c r="FB82" s="56">
        <v>10</v>
      </c>
      <c r="FC82" s="56">
        <v>10</v>
      </c>
      <c r="FD82" s="56">
        <v>10</v>
      </c>
      <c r="FE82" s="56">
        <v>10</v>
      </c>
      <c r="FF82" s="56">
        <v>10</v>
      </c>
      <c r="FG82" s="56">
        <v>10</v>
      </c>
      <c r="FH82" s="56">
        <v>10</v>
      </c>
      <c r="FI82" s="56">
        <v>10</v>
      </c>
      <c r="FJ82" s="56">
        <v>10</v>
      </c>
      <c r="FK82" s="56">
        <v>10</v>
      </c>
      <c r="FL82" s="56">
        <v>10</v>
      </c>
      <c r="FM82" s="56">
        <v>10</v>
      </c>
      <c r="FN82" s="56">
        <v>10</v>
      </c>
      <c r="FO82" s="56">
        <v>10</v>
      </c>
      <c r="FP82" s="56">
        <v>10</v>
      </c>
    </row>
    <row r="83" spans="1:172" x14ac:dyDescent="0.2">
      <c r="A83" s="6" t="s">
        <v>367</v>
      </c>
      <c r="B83" s="1" t="s">
        <v>368</v>
      </c>
      <c r="C83" s="62" t="s">
        <v>252</v>
      </c>
      <c r="D83" s="69"/>
      <c r="E83" s="56">
        <v>1000</v>
      </c>
      <c r="F83" s="56">
        <v>1000</v>
      </c>
      <c r="G83" s="56">
        <v>1000</v>
      </c>
      <c r="H83" s="56">
        <v>1000</v>
      </c>
      <c r="I83" s="56">
        <v>1000</v>
      </c>
      <c r="J83" s="56">
        <v>1000</v>
      </c>
      <c r="K83" s="56">
        <v>1000</v>
      </c>
      <c r="L83" s="56">
        <v>1000</v>
      </c>
      <c r="M83" s="56">
        <v>1000</v>
      </c>
      <c r="N83" s="56">
        <v>1000</v>
      </c>
      <c r="O83" s="56">
        <v>1000</v>
      </c>
      <c r="P83" s="56">
        <v>1000</v>
      </c>
      <c r="Q83" s="56">
        <v>1000</v>
      </c>
      <c r="R83" s="56">
        <v>1000</v>
      </c>
      <c r="S83" s="56">
        <v>1000</v>
      </c>
      <c r="T83" s="56">
        <v>1000</v>
      </c>
      <c r="U83" s="56">
        <v>1000</v>
      </c>
      <c r="V83" s="56">
        <v>1000</v>
      </c>
      <c r="W83" s="56">
        <v>1000</v>
      </c>
      <c r="X83" s="56">
        <v>1000</v>
      </c>
      <c r="Y83" s="56">
        <v>1000</v>
      </c>
      <c r="Z83" s="56">
        <v>1000</v>
      </c>
      <c r="AA83" s="56">
        <v>1000</v>
      </c>
      <c r="AB83" s="56">
        <v>1000</v>
      </c>
      <c r="AC83" s="56">
        <v>1000</v>
      </c>
      <c r="AD83" s="56">
        <v>1000</v>
      </c>
      <c r="AE83" s="56">
        <v>1000</v>
      </c>
      <c r="AF83" s="56">
        <v>1000</v>
      </c>
      <c r="AG83" s="56">
        <v>1000</v>
      </c>
      <c r="AH83" s="56">
        <v>1000</v>
      </c>
      <c r="AI83" s="56">
        <v>1000</v>
      </c>
      <c r="AJ83" s="56">
        <v>1000</v>
      </c>
      <c r="AK83" s="56">
        <v>1000</v>
      </c>
      <c r="AL83" s="56">
        <v>1000</v>
      </c>
      <c r="AM83" s="56">
        <v>1000</v>
      </c>
      <c r="AN83" s="56">
        <v>1000</v>
      </c>
      <c r="AO83" s="56">
        <v>1000</v>
      </c>
      <c r="AP83" s="56">
        <v>1000</v>
      </c>
      <c r="AQ83" s="56">
        <v>1000</v>
      </c>
      <c r="AR83" s="56">
        <v>1000</v>
      </c>
      <c r="AS83" s="56">
        <v>1000</v>
      </c>
      <c r="AT83" s="56">
        <v>1000</v>
      </c>
      <c r="AU83" s="56">
        <v>1000</v>
      </c>
      <c r="AV83" s="56">
        <v>1000</v>
      </c>
      <c r="AW83" s="56">
        <v>1000</v>
      </c>
      <c r="AX83" s="56">
        <v>1000</v>
      </c>
      <c r="AY83" s="56">
        <v>1000</v>
      </c>
      <c r="AZ83" s="56">
        <v>1000</v>
      </c>
      <c r="BA83" s="56">
        <v>1000</v>
      </c>
      <c r="BB83" s="56">
        <v>1000</v>
      </c>
      <c r="BC83" s="56">
        <v>1000</v>
      </c>
      <c r="BD83" s="56">
        <v>1000</v>
      </c>
      <c r="BE83" s="56">
        <v>1000</v>
      </c>
      <c r="BF83" s="56">
        <v>1000</v>
      </c>
      <c r="BG83" s="56">
        <v>1000</v>
      </c>
      <c r="BH83" s="56">
        <v>1000</v>
      </c>
      <c r="BI83" s="56">
        <v>1000</v>
      </c>
      <c r="BJ83" s="56">
        <v>1000</v>
      </c>
      <c r="BK83" s="56">
        <v>1000</v>
      </c>
      <c r="BL83" s="56">
        <v>1000</v>
      </c>
      <c r="BM83" s="56">
        <v>1000</v>
      </c>
      <c r="BN83" s="56">
        <v>1000</v>
      </c>
      <c r="BO83" s="56">
        <v>1000</v>
      </c>
      <c r="BP83" s="56">
        <v>1000</v>
      </c>
      <c r="BQ83" s="56">
        <v>1000</v>
      </c>
      <c r="BR83" s="56">
        <v>1000</v>
      </c>
      <c r="BS83" s="56">
        <v>1000</v>
      </c>
      <c r="BT83" s="56">
        <v>1000</v>
      </c>
      <c r="BU83" s="56">
        <v>1000</v>
      </c>
      <c r="BV83" s="56">
        <v>1000</v>
      </c>
      <c r="BW83" s="56">
        <v>1000</v>
      </c>
      <c r="BX83" s="56">
        <v>1000</v>
      </c>
      <c r="BY83" s="56">
        <v>1000</v>
      </c>
      <c r="BZ83" s="56">
        <v>1000</v>
      </c>
      <c r="CA83" s="56">
        <v>1000</v>
      </c>
      <c r="CB83" s="56">
        <v>1000</v>
      </c>
      <c r="CC83" s="56">
        <v>1000</v>
      </c>
      <c r="CD83" s="56">
        <v>1000</v>
      </c>
      <c r="CE83" s="56">
        <v>1000</v>
      </c>
      <c r="CF83" s="56">
        <v>1000</v>
      </c>
      <c r="CG83" s="56">
        <v>1000</v>
      </c>
      <c r="CH83" s="56">
        <v>1000</v>
      </c>
      <c r="CI83" s="56">
        <v>1000</v>
      </c>
      <c r="CJ83" s="56">
        <v>1000</v>
      </c>
      <c r="CK83" s="56">
        <v>1000</v>
      </c>
      <c r="CL83" s="56">
        <v>1000</v>
      </c>
      <c r="CM83" s="56">
        <v>1000</v>
      </c>
      <c r="CN83" s="56">
        <v>1000</v>
      </c>
      <c r="CO83" s="56">
        <v>1000</v>
      </c>
      <c r="CP83" s="56">
        <v>1000</v>
      </c>
      <c r="CQ83" s="56">
        <v>1000</v>
      </c>
      <c r="CR83" s="56">
        <v>1000</v>
      </c>
      <c r="CS83" s="56">
        <v>1000</v>
      </c>
      <c r="CT83" s="56">
        <v>1000</v>
      </c>
      <c r="CU83" s="56">
        <v>1000</v>
      </c>
      <c r="CV83" s="56">
        <v>1000</v>
      </c>
      <c r="CW83" s="56">
        <v>1000</v>
      </c>
      <c r="CX83" s="56">
        <v>1000</v>
      </c>
      <c r="CY83" s="56">
        <v>1000</v>
      </c>
      <c r="CZ83" s="56">
        <v>1000</v>
      </c>
      <c r="DA83" s="56">
        <v>1000</v>
      </c>
      <c r="DB83" s="56">
        <v>1000</v>
      </c>
      <c r="DC83" s="56">
        <v>1000</v>
      </c>
      <c r="DD83" s="56">
        <v>1000</v>
      </c>
      <c r="DE83" s="56">
        <v>1000</v>
      </c>
      <c r="DF83" s="56">
        <v>1000</v>
      </c>
      <c r="DG83" s="56">
        <v>1000</v>
      </c>
      <c r="DH83" s="56">
        <v>1000</v>
      </c>
      <c r="DI83" s="56">
        <v>1000</v>
      </c>
      <c r="DJ83" s="56">
        <v>1000</v>
      </c>
      <c r="DK83" s="56">
        <v>1000</v>
      </c>
      <c r="DL83" s="56">
        <v>1000</v>
      </c>
      <c r="DM83" s="56">
        <v>1000</v>
      </c>
      <c r="DN83" s="56">
        <v>1000</v>
      </c>
      <c r="DO83" s="56">
        <v>1000</v>
      </c>
      <c r="DP83" s="56">
        <v>1000</v>
      </c>
      <c r="DQ83" s="56">
        <v>1000</v>
      </c>
      <c r="DR83" s="56">
        <v>1000</v>
      </c>
      <c r="DS83" s="56">
        <v>1000</v>
      </c>
      <c r="DT83" s="56">
        <v>1000</v>
      </c>
      <c r="DU83" s="56">
        <v>1000</v>
      </c>
      <c r="DV83" s="56">
        <v>1000</v>
      </c>
      <c r="DW83" s="56">
        <v>1000</v>
      </c>
      <c r="DX83" s="56">
        <v>1000</v>
      </c>
      <c r="DY83" s="56">
        <v>1000</v>
      </c>
      <c r="DZ83" s="56">
        <v>1000</v>
      </c>
      <c r="EA83" s="56">
        <v>1000</v>
      </c>
      <c r="EB83" s="56">
        <v>1000</v>
      </c>
      <c r="EC83" s="56">
        <v>1000</v>
      </c>
      <c r="ED83" s="56">
        <v>1000</v>
      </c>
      <c r="EE83" s="56">
        <v>1000</v>
      </c>
      <c r="EF83" s="56">
        <v>1000</v>
      </c>
      <c r="EG83" s="56">
        <v>1000</v>
      </c>
      <c r="EH83" s="56">
        <v>1000</v>
      </c>
      <c r="EI83" s="56">
        <v>1000</v>
      </c>
      <c r="EJ83" s="56">
        <v>1000</v>
      </c>
      <c r="EK83" s="56">
        <v>1000</v>
      </c>
      <c r="EL83" s="56">
        <v>1000</v>
      </c>
      <c r="EM83" s="56">
        <v>1000</v>
      </c>
      <c r="EN83" s="56">
        <v>1000</v>
      </c>
      <c r="EO83" s="56">
        <v>1000</v>
      </c>
      <c r="EP83" s="56">
        <v>1000</v>
      </c>
      <c r="EQ83" s="56">
        <v>1000</v>
      </c>
      <c r="ER83" s="56">
        <v>1000</v>
      </c>
      <c r="ES83" s="56">
        <v>1000</v>
      </c>
      <c r="ET83" s="56">
        <v>1000</v>
      </c>
      <c r="EU83" s="56">
        <v>1000</v>
      </c>
      <c r="EV83" s="56">
        <v>1000</v>
      </c>
      <c r="EW83" s="56">
        <v>1000</v>
      </c>
      <c r="EX83" s="56">
        <v>1000</v>
      </c>
      <c r="EY83" s="56">
        <v>1000</v>
      </c>
      <c r="EZ83" s="56">
        <v>1000</v>
      </c>
      <c r="FA83" s="56">
        <v>1000</v>
      </c>
      <c r="FB83" s="56">
        <v>1000</v>
      </c>
      <c r="FC83" s="56">
        <v>1000</v>
      </c>
      <c r="FD83" s="56">
        <v>1000</v>
      </c>
      <c r="FE83" s="56">
        <v>1000</v>
      </c>
      <c r="FF83" s="56">
        <v>1000</v>
      </c>
      <c r="FG83" s="56">
        <v>1000</v>
      </c>
      <c r="FH83" s="56">
        <v>1000</v>
      </c>
      <c r="FI83" s="56">
        <v>1000</v>
      </c>
      <c r="FJ83" s="56">
        <v>1000</v>
      </c>
      <c r="FK83" s="56">
        <v>1000</v>
      </c>
      <c r="FL83" s="56">
        <v>1000</v>
      </c>
      <c r="FM83" s="56">
        <v>1000</v>
      </c>
      <c r="FN83" s="56">
        <v>1000</v>
      </c>
      <c r="FO83" s="56">
        <v>1000</v>
      </c>
      <c r="FP83" s="56">
        <v>1000</v>
      </c>
    </row>
    <row r="84" spans="1:172" ht="19" thickBot="1" x14ac:dyDescent="0.3">
      <c r="B84" s="8"/>
      <c r="C84" s="8"/>
      <c r="D84" s="8"/>
      <c r="E84" s="8" t="s">
        <v>276</v>
      </c>
      <c r="F84" s="8" t="s">
        <v>277</v>
      </c>
      <c r="G84" s="8" t="s">
        <v>278</v>
      </c>
      <c r="H84" s="8" t="s">
        <v>279</v>
      </c>
      <c r="I84" s="8" t="s">
        <v>280</v>
      </c>
      <c r="J84" s="8" t="s">
        <v>281</v>
      </c>
      <c r="K84" s="8" t="s">
        <v>282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1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1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1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1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1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1"/>
      <c r="ET84" s="70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K84" s="70"/>
      <c r="FL84" s="70"/>
      <c r="FM84" s="70"/>
      <c r="FN84" s="70"/>
      <c r="FO84" s="70"/>
      <c r="FP84" s="70"/>
    </row>
    <row r="85" spans="1:172" ht="16" thickTop="1" x14ac:dyDescent="0.2">
      <c r="A85" s="6" t="s">
        <v>369</v>
      </c>
      <c r="B85" s="1" t="s">
        <v>370</v>
      </c>
      <c r="C85" s="65" t="s">
        <v>252</v>
      </c>
      <c r="D85" s="72"/>
      <c r="E85" s="73">
        <v>3.2963928860399852E-2</v>
      </c>
      <c r="F85" s="73">
        <v>3.2963928860399852E-2</v>
      </c>
      <c r="G85" s="73">
        <v>3.2963928860399852E-2</v>
      </c>
      <c r="H85" s="73">
        <v>3.2963928860399852E-2</v>
      </c>
      <c r="I85" s="73">
        <v>3.2963928860399852E-2</v>
      </c>
      <c r="J85" s="73">
        <v>3.2963928860399852E-2</v>
      </c>
      <c r="K85" s="73">
        <v>3.2410003650263315E-2</v>
      </c>
    </row>
    <row r="87" spans="1:172" ht="21" thickBot="1" x14ac:dyDescent="0.3">
      <c r="A87" s="7" t="s">
        <v>371</v>
      </c>
      <c r="B87" s="21" t="s">
        <v>1</v>
      </c>
      <c r="C87" s="8" t="s">
        <v>2</v>
      </c>
      <c r="D87" s="21"/>
      <c r="E87" s="8" t="s">
        <v>4</v>
      </c>
      <c r="F87" s="8" t="s">
        <v>5</v>
      </c>
      <c r="G87" s="8" t="s">
        <v>6</v>
      </c>
      <c r="H87" s="8" t="s">
        <v>7</v>
      </c>
      <c r="I87" s="8" t="s">
        <v>8</v>
      </c>
      <c r="J87" s="8" t="s">
        <v>9</v>
      </c>
      <c r="K87" s="8" t="s">
        <v>10</v>
      </c>
      <c r="L87" s="8" t="s">
        <v>11</v>
      </c>
      <c r="M87" s="8" t="s">
        <v>12</v>
      </c>
      <c r="N87" s="8" t="s">
        <v>13</v>
      </c>
      <c r="O87" s="8" t="s">
        <v>14</v>
      </c>
      <c r="P87" s="8" t="s">
        <v>15</v>
      </c>
      <c r="Q87" s="8" t="s">
        <v>16</v>
      </c>
      <c r="R87" s="8" t="s">
        <v>17</v>
      </c>
      <c r="S87" s="8" t="s">
        <v>18</v>
      </c>
      <c r="T87" s="8" t="s">
        <v>19</v>
      </c>
      <c r="U87" s="8" t="s">
        <v>20</v>
      </c>
      <c r="V87" s="8" t="s">
        <v>21</v>
      </c>
      <c r="W87" s="8" t="s">
        <v>22</v>
      </c>
      <c r="X87" s="8" t="s">
        <v>23</v>
      </c>
      <c r="Y87" s="8" t="s">
        <v>24</v>
      </c>
      <c r="Z87" s="8" t="s">
        <v>25</v>
      </c>
      <c r="AA87" s="8" t="s">
        <v>26</v>
      </c>
      <c r="AB87" s="8" t="s">
        <v>27</v>
      </c>
      <c r="AC87" s="46" t="s">
        <v>28</v>
      </c>
      <c r="AD87" s="8" t="s">
        <v>29</v>
      </c>
      <c r="AE87" s="8" t="s">
        <v>30</v>
      </c>
      <c r="AF87" s="8" t="s">
        <v>31</v>
      </c>
      <c r="AG87" s="8" t="s">
        <v>32</v>
      </c>
      <c r="AH87" s="8" t="s">
        <v>33</v>
      </c>
      <c r="AI87" s="8" t="s">
        <v>34</v>
      </c>
      <c r="AJ87" s="8" t="s">
        <v>35</v>
      </c>
      <c r="AK87" s="8" t="s">
        <v>36</v>
      </c>
      <c r="AL87" s="8" t="s">
        <v>37</v>
      </c>
      <c r="AM87" s="8" t="s">
        <v>38</v>
      </c>
      <c r="AN87" s="8" t="s">
        <v>39</v>
      </c>
      <c r="AO87" s="8" t="s">
        <v>40</v>
      </c>
      <c r="AP87" s="8" t="s">
        <v>41</v>
      </c>
      <c r="AQ87" s="8" t="s">
        <v>42</v>
      </c>
      <c r="AR87" s="8" t="s">
        <v>43</v>
      </c>
      <c r="AS87" s="8" t="s">
        <v>44</v>
      </c>
      <c r="AT87" s="8" t="s">
        <v>45</v>
      </c>
      <c r="AU87" s="8" t="s">
        <v>46</v>
      </c>
      <c r="AV87" s="8" t="s">
        <v>47</v>
      </c>
      <c r="AW87" s="8" t="s">
        <v>48</v>
      </c>
      <c r="AX87" s="8" t="s">
        <v>49</v>
      </c>
      <c r="AY87" s="8" t="s">
        <v>50</v>
      </c>
      <c r="AZ87" s="8" t="s">
        <v>51</v>
      </c>
      <c r="BA87" s="46" t="s">
        <v>52</v>
      </c>
      <c r="BB87" s="8" t="s">
        <v>53</v>
      </c>
      <c r="BC87" s="8" t="s">
        <v>54</v>
      </c>
      <c r="BD87" s="8" t="s">
        <v>55</v>
      </c>
      <c r="BE87" s="8" t="s">
        <v>56</v>
      </c>
      <c r="BF87" s="8" t="s">
        <v>57</v>
      </c>
      <c r="BG87" s="8" t="s">
        <v>58</v>
      </c>
      <c r="BH87" s="8" t="s">
        <v>59</v>
      </c>
      <c r="BI87" s="8" t="s">
        <v>60</v>
      </c>
      <c r="BJ87" s="8" t="s">
        <v>61</v>
      </c>
      <c r="BK87" s="8" t="s">
        <v>62</v>
      </c>
      <c r="BL87" s="8" t="s">
        <v>63</v>
      </c>
      <c r="BM87" s="8" t="s">
        <v>64</v>
      </c>
      <c r="BN87" s="8" t="s">
        <v>65</v>
      </c>
      <c r="BO87" s="8" t="s">
        <v>66</v>
      </c>
      <c r="BP87" s="8" t="s">
        <v>67</v>
      </c>
      <c r="BQ87" s="8" t="s">
        <v>68</v>
      </c>
      <c r="BR87" s="8" t="s">
        <v>69</v>
      </c>
      <c r="BS87" s="8" t="s">
        <v>70</v>
      </c>
      <c r="BT87" s="8" t="s">
        <v>71</v>
      </c>
      <c r="BU87" s="8" t="s">
        <v>72</v>
      </c>
      <c r="BV87" s="8" t="s">
        <v>73</v>
      </c>
      <c r="BW87" s="8" t="s">
        <v>74</v>
      </c>
      <c r="BX87" s="8" t="s">
        <v>75</v>
      </c>
      <c r="BY87" s="46" t="s">
        <v>76</v>
      </c>
      <c r="BZ87" s="8" t="s">
        <v>77</v>
      </c>
      <c r="CA87" s="8" t="s">
        <v>78</v>
      </c>
      <c r="CB87" s="8" t="s">
        <v>79</v>
      </c>
      <c r="CC87" s="8" t="s">
        <v>80</v>
      </c>
      <c r="CD87" s="8" t="s">
        <v>81</v>
      </c>
      <c r="CE87" s="8" t="s">
        <v>82</v>
      </c>
      <c r="CF87" s="8" t="s">
        <v>83</v>
      </c>
      <c r="CG87" s="8" t="s">
        <v>84</v>
      </c>
      <c r="CH87" s="8" t="s">
        <v>85</v>
      </c>
      <c r="CI87" s="8" t="s">
        <v>86</v>
      </c>
      <c r="CJ87" s="8" t="s">
        <v>87</v>
      </c>
      <c r="CK87" s="8" t="s">
        <v>88</v>
      </c>
      <c r="CL87" s="8" t="s">
        <v>89</v>
      </c>
      <c r="CM87" s="8" t="s">
        <v>90</v>
      </c>
      <c r="CN87" s="8" t="s">
        <v>91</v>
      </c>
      <c r="CO87" s="8" t="s">
        <v>92</v>
      </c>
      <c r="CP87" s="8" t="s">
        <v>93</v>
      </c>
      <c r="CQ87" s="8" t="s">
        <v>94</v>
      </c>
      <c r="CR87" s="8" t="s">
        <v>95</v>
      </c>
      <c r="CS87" s="8" t="s">
        <v>96</v>
      </c>
      <c r="CT87" s="8" t="s">
        <v>97</v>
      </c>
      <c r="CU87" s="8" t="s">
        <v>98</v>
      </c>
      <c r="CV87" s="8" t="s">
        <v>99</v>
      </c>
      <c r="CW87" s="46" t="s">
        <v>100</v>
      </c>
      <c r="CX87" s="8" t="s">
        <v>101</v>
      </c>
      <c r="CY87" s="8" t="s">
        <v>102</v>
      </c>
      <c r="CZ87" s="8" t="s">
        <v>103</v>
      </c>
      <c r="DA87" s="8" t="s">
        <v>104</v>
      </c>
      <c r="DB87" s="8" t="s">
        <v>105</v>
      </c>
      <c r="DC87" s="8" t="s">
        <v>106</v>
      </c>
      <c r="DD87" s="8" t="s">
        <v>107</v>
      </c>
      <c r="DE87" s="8" t="s">
        <v>108</v>
      </c>
      <c r="DF87" s="8" t="s">
        <v>109</v>
      </c>
      <c r="DG87" s="8" t="s">
        <v>110</v>
      </c>
      <c r="DH87" s="8" t="s">
        <v>111</v>
      </c>
      <c r="DI87" s="8" t="s">
        <v>112</v>
      </c>
      <c r="DJ87" s="8" t="s">
        <v>113</v>
      </c>
      <c r="DK87" s="8" t="s">
        <v>114</v>
      </c>
      <c r="DL87" s="8" t="s">
        <v>115</v>
      </c>
      <c r="DM87" s="8" t="s">
        <v>116</v>
      </c>
      <c r="DN87" s="8" t="s">
        <v>117</v>
      </c>
      <c r="DO87" s="8" t="s">
        <v>118</v>
      </c>
      <c r="DP87" s="8" t="s">
        <v>119</v>
      </c>
      <c r="DQ87" s="8" t="s">
        <v>120</v>
      </c>
      <c r="DR87" s="8" t="s">
        <v>121</v>
      </c>
      <c r="DS87" s="8" t="s">
        <v>122</v>
      </c>
      <c r="DT87" s="8" t="s">
        <v>123</v>
      </c>
      <c r="DU87" s="46" t="s">
        <v>124</v>
      </c>
      <c r="DV87" s="8" t="s">
        <v>125</v>
      </c>
      <c r="DW87" s="8" t="s">
        <v>126</v>
      </c>
      <c r="DX87" s="8" t="s">
        <v>127</v>
      </c>
      <c r="DY87" s="8" t="s">
        <v>128</v>
      </c>
      <c r="DZ87" s="8" t="s">
        <v>129</v>
      </c>
      <c r="EA87" s="8" t="s">
        <v>130</v>
      </c>
      <c r="EB87" s="8" t="s">
        <v>131</v>
      </c>
      <c r="EC87" s="8" t="s">
        <v>132</v>
      </c>
      <c r="ED87" s="8" t="s">
        <v>133</v>
      </c>
      <c r="EE87" s="8" t="s">
        <v>134</v>
      </c>
      <c r="EF87" s="8" t="s">
        <v>135</v>
      </c>
      <c r="EG87" s="8" t="s">
        <v>136</v>
      </c>
      <c r="EH87" s="8" t="s">
        <v>137</v>
      </c>
      <c r="EI87" s="8" t="s">
        <v>138</v>
      </c>
      <c r="EJ87" s="8" t="s">
        <v>139</v>
      </c>
      <c r="EK87" s="8" t="s">
        <v>140</v>
      </c>
      <c r="EL87" s="8" t="s">
        <v>141</v>
      </c>
      <c r="EM87" s="8" t="s">
        <v>142</v>
      </c>
      <c r="EN87" s="8" t="s">
        <v>143</v>
      </c>
      <c r="EO87" s="8" t="s">
        <v>144</v>
      </c>
      <c r="EP87" s="8" t="s">
        <v>145</v>
      </c>
      <c r="EQ87" s="8" t="s">
        <v>146</v>
      </c>
      <c r="ER87" s="8" t="s">
        <v>147</v>
      </c>
      <c r="ES87" s="46" t="s">
        <v>148</v>
      </c>
      <c r="ET87" s="8" t="s">
        <v>149</v>
      </c>
      <c r="EU87" s="8" t="s">
        <v>150</v>
      </c>
      <c r="EV87" s="8" t="s">
        <v>151</v>
      </c>
      <c r="EW87" s="8" t="s">
        <v>152</v>
      </c>
      <c r="EX87" s="8" t="s">
        <v>153</v>
      </c>
      <c r="EY87" s="8" t="s">
        <v>154</v>
      </c>
      <c r="EZ87" s="8" t="s">
        <v>155</v>
      </c>
      <c r="FA87" s="8" t="s">
        <v>156</v>
      </c>
      <c r="FB87" s="8" t="s">
        <v>157</v>
      </c>
      <c r="FC87" s="8" t="s">
        <v>158</v>
      </c>
      <c r="FD87" s="8" t="s">
        <v>159</v>
      </c>
      <c r="FE87" s="8" t="s">
        <v>160</v>
      </c>
      <c r="FF87" s="8" t="s">
        <v>161</v>
      </c>
      <c r="FG87" s="8" t="s">
        <v>162</v>
      </c>
      <c r="FH87" s="8" t="s">
        <v>163</v>
      </c>
      <c r="FI87" s="8" t="s">
        <v>164</v>
      </c>
      <c r="FJ87" s="8" t="s">
        <v>165</v>
      </c>
      <c r="FK87" s="8" t="s">
        <v>166</v>
      </c>
      <c r="FL87" s="8" t="s">
        <v>167</v>
      </c>
      <c r="FM87" s="8" t="s">
        <v>168</v>
      </c>
      <c r="FN87" s="8" t="s">
        <v>169</v>
      </c>
      <c r="FO87" s="8" t="s">
        <v>170</v>
      </c>
      <c r="FP87" s="8" t="s">
        <v>171</v>
      </c>
    </row>
    <row r="88" spans="1:172" ht="16" thickTop="1" x14ac:dyDescent="0.2">
      <c r="A88" s="6" t="s">
        <v>372</v>
      </c>
      <c r="B88" s="1" t="s">
        <v>373</v>
      </c>
      <c r="C88" s="28" t="s">
        <v>258</v>
      </c>
      <c r="D88" s="1"/>
      <c r="E88" s="56">
        <v>342.93920000000003</v>
      </c>
      <c r="F88" s="56">
        <v>279.25312000000002</v>
      </c>
      <c r="G88" s="56">
        <v>279.25312000000002</v>
      </c>
      <c r="H88" s="56">
        <v>279.25312000000002</v>
      </c>
      <c r="I88" s="56">
        <v>279.25312000000002</v>
      </c>
      <c r="J88" s="56">
        <v>279.25312000000002</v>
      </c>
      <c r="K88" s="56">
        <v>279.25312000000002</v>
      </c>
      <c r="L88" s="56">
        <v>279.25312000000002</v>
      </c>
      <c r="M88" s="56">
        <v>279.25312000000002</v>
      </c>
      <c r="N88" s="56">
        <v>279.25312000000002</v>
      </c>
      <c r="O88" s="56">
        <v>279.25312000000002</v>
      </c>
      <c r="P88" s="56">
        <v>279.25312000000002</v>
      </c>
      <c r="Q88" s="56">
        <v>279.25312000000002</v>
      </c>
      <c r="R88" s="56">
        <v>279.25312000000002</v>
      </c>
      <c r="S88" s="56">
        <v>279.25312000000002</v>
      </c>
      <c r="T88" s="56">
        <v>279.25312000000002</v>
      </c>
      <c r="U88" s="56">
        <v>400.56064000000003</v>
      </c>
      <c r="V88" s="56">
        <v>447.97376000000003</v>
      </c>
      <c r="W88" s="56">
        <v>494.57360000000006</v>
      </c>
      <c r="X88" s="56">
        <v>494.57360000000006</v>
      </c>
      <c r="Y88" s="56">
        <v>494.57360000000006</v>
      </c>
      <c r="Z88" s="56">
        <v>494.57360000000006</v>
      </c>
      <c r="AA88" s="56">
        <v>494.57360000000006</v>
      </c>
      <c r="AB88" s="57">
        <v>418.75640000000004</v>
      </c>
      <c r="AC88" s="58">
        <v>342.93920000000003</v>
      </c>
      <c r="AD88" s="56">
        <v>279.25312000000002</v>
      </c>
      <c r="AE88" s="56">
        <v>279.25312000000002</v>
      </c>
      <c r="AF88" s="56">
        <v>279.25312000000002</v>
      </c>
      <c r="AG88" s="56">
        <v>279.25312000000002</v>
      </c>
      <c r="AH88" s="56">
        <v>279.25312000000002</v>
      </c>
      <c r="AI88" s="56">
        <v>279.25312000000002</v>
      </c>
      <c r="AJ88" s="56">
        <v>279.25312000000002</v>
      </c>
      <c r="AK88" s="56">
        <v>279.25312000000002</v>
      </c>
      <c r="AL88" s="56">
        <v>279.25312000000002</v>
      </c>
      <c r="AM88" s="56">
        <v>279.25312000000002</v>
      </c>
      <c r="AN88" s="56">
        <v>279.25312000000002</v>
      </c>
      <c r="AO88" s="56">
        <v>279.25312000000002</v>
      </c>
      <c r="AP88" s="56">
        <v>279.25312000000002</v>
      </c>
      <c r="AQ88" s="56">
        <v>279.25312000000002</v>
      </c>
      <c r="AR88" s="56">
        <v>279.25312000000002</v>
      </c>
      <c r="AS88" s="56">
        <v>400.56064000000003</v>
      </c>
      <c r="AT88" s="56">
        <v>473.62059999999997</v>
      </c>
      <c r="AU88" s="56">
        <v>473.62059999999997</v>
      </c>
      <c r="AV88" s="56">
        <v>494.57360000000006</v>
      </c>
      <c r="AW88" s="56">
        <v>494.57360000000006</v>
      </c>
      <c r="AX88" s="56">
        <v>494.57360000000006</v>
      </c>
      <c r="AY88" s="56">
        <v>418.75640000000004</v>
      </c>
      <c r="AZ88" s="57">
        <v>342.93920000000003</v>
      </c>
      <c r="BA88" s="58">
        <v>279.25312000000002</v>
      </c>
      <c r="BB88" s="56">
        <v>279.25312000000002</v>
      </c>
      <c r="BC88" s="56">
        <v>279.25312000000002</v>
      </c>
      <c r="BD88" s="56">
        <v>279.25312000000002</v>
      </c>
      <c r="BE88" s="56">
        <v>279.25312000000002</v>
      </c>
      <c r="BF88" s="56">
        <v>279.25312000000002</v>
      </c>
      <c r="BG88" s="56">
        <v>279.25312000000002</v>
      </c>
      <c r="BH88" s="56">
        <v>279.25312000000002</v>
      </c>
      <c r="BI88" s="56">
        <v>279.25312000000002</v>
      </c>
      <c r="BJ88" s="56">
        <v>279.25312000000002</v>
      </c>
      <c r="BK88" s="56">
        <v>279.25312000000002</v>
      </c>
      <c r="BL88" s="56">
        <v>279.25312000000002</v>
      </c>
      <c r="BM88" s="56">
        <v>279.25312000000002</v>
      </c>
      <c r="BN88" s="56">
        <v>279.25312000000002</v>
      </c>
      <c r="BO88" s="56">
        <v>279.25312000000002</v>
      </c>
      <c r="BP88" s="56">
        <v>373.26607999999999</v>
      </c>
      <c r="BQ88" s="56">
        <v>494.57360000000006</v>
      </c>
      <c r="BR88" s="56">
        <v>494.57360000000006</v>
      </c>
      <c r="BS88" s="56">
        <v>494.57360000000006</v>
      </c>
      <c r="BT88" s="56">
        <v>494.57360000000006</v>
      </c>
      <c r="BU88" s="56">
        <v>494.57360000000006</v>
      </c>
      <c r="BV88" s="56">
        <v>494.57360000000006</v>
      </c>
      <c r="BW88" s="56">
        <v>494.57360000000006</v>
      </c>
      <c r="BX88" s="57">
        <v>418.75640000000004</v>
      </c>
      <c r="BY88" s="58">
        <v>342.93920000000003</v>
      </c>
      <c r="BZ88" s="56">
        <v>279.25312000000002</v>
      </c>
      <c r="CA88" s="56">
        <v>279.25312000000002</v>
      </c>
      <c r="CB88" s="56">
        <v>279.25312000000002</v>
      </c>
      <c r="CC88" s="56">
        <v>279.25312000000002</v>
      </c>
      <c r="CD88" s="56">
        <v>279.25312000000002</v>
      </c>
      <c r="CE88" s="56">
        <v>279.25312000000002</v>
      </c>
      <c r="CF88" s="56">
        <v>279.25312000000002</v>
      </c>
      <c r="CG88" s="56">
        <v>279.25312000000002</v>
      </c>
      <c r="CH88" s="56">
        <v>279.25312000000002</v>
      </c>
      <c r="CI88" s="56">
        <v>279.25312000000002</v>
      </c>
      <c r="CJ88" s="56">
        <v>279.25312000000002</v>
      </c>
      <c r="CK88" s="56">
        <v>279.25312000000002</v>
      </c>
      <c r="CL88" s="56">
        <v>279.25312000000002</v>
      </c>
      <c r="CM88" s="56">
        <v>279.25312000000002</v>
      </c>
      <c r="CN88" s="56">
        <v>373.26607999999999</v>
      </c>
      <c r="CO88" s="56">
        <v>494.57360000000006</v>
      </c>
      <c r="CP88" s="56">
        <v>494.57360000000006</v>
      </c>
      <c r="CQ88" s="56">
        <v>494.57360000000006</v>
      </c>
      <c r="CR88" s="56">
        <v>494.57360000000006</v>
      </c>
      <c r="CS88" s="56">
        <v>494.57360000000006</v>
      </c>
      <c r="CT88" s="56">
        <v>494.57360000000006</v>
      </c>
      <c r="CU88" s="56">
        <v>494.57360000000006</v>
      </c>
      <c r="CV88" s="57">
        <v>418.75640000000004</v>
      </c>
      <c r="CW88" s="58">
        <v>342.93920000000003</v>
      </c>
      <c r="CX88" s="56">
        <v>279.25312000000002</v>
      </c>
      <c r="CY88" s="56">
        <v>279.25312000000002</v>
      </c>
      <c r="CZ88" s="56">
        <v>279.25312000000002</v>
      </c>
      <c r="DA88" s="56">
        <v>279.25312000000002</v>
      </c>
      <c r="DB88" s="56">
        <v>279.25312000000002</v>
      </c>
      <c r="DC88" s="56">
        <v>279.25312000000002</v>
      </c>
      <c r="DD88" s="56">
        <v>279.25312000000002</v>
      </c>
      <c r="DE88" s="56">
        <v>279.25312000000002</v>
      </c>
      <c r="DF88" s="56">
        <v>279.25312000000002</v>
      </c>
      <c r="DG88" s="56">
        <v>279.25312000000002</v>
      </c>
      <c r="DH88" s="56">
        <v>279.25312000000002</v>
      </c>
      <c r="DI88" s="56">
        <v>279.25312000000002</v>
      </c>
      <c r="DJ88" s="56">
        <v>279.25312000000002</v>
      </c>
      <c r="DK88" s="56">
        <v>279.25312000000002</v>
      </c>
      <c r="DL88" s="56">
        <v>373.26607999999999</v>
      </c>
      <c r="DM88" s="56">
        <v>494.57360000000006</v>
      </c>
      <c r="DN88" s="56">
        <v>494.57360000000006</v>
      </c>
      <c r="DO88" s="56">
        <v>494.57360000000006</v>
      </c>
      <c r="DP88" s="56">
        <v>494.57360000000006</v>
      </c>
      <c r="DQ88" s="56">
        <v>494.57360000000006</v>
      </c>
      <c r="DR88" s="56">
        <v>494.57360000000006</v>
      </c>
      <c r="DS88" s="56">
        <v>494.57360000000006</v>
      </c>
      <c r="DT88" s="57">
        <v>418.75640000000004</v>
      </c>
      <c r="DU88" s="58">
        <v>342.93920000000003</v>
      </c>
      <c r="DV88" s="56">
        <v>279.25312000000002</v>
      </c>
      <c r="DW88" s="56">
        <v>279.25312000000002</v>
      </c>
      <c r="DX88" s="56">
        <v>279.25312000000002</v>
      </c>
      <c r="DY88" s="56">
        <v>279.25312000000002</v>
      </c>
      <c r="DZ88" s="56">
        <v>279.25312000000002</v>
      </c>
      <c r="EA88" s="56">
        <v>279.25312000000002</v>
      </c>
      <c r="EB88" s="56">
        <v>279.25312000000002</v>
      </c>
      <c r="EC88" s="56">
        <v>279.25312000000002</v>
      </c>
      <c r="ED88" s="56">
        <v>279.25312000000002</v>
      </c>
      <c r="EE88" s="56">
        <v>279.25312000000002</v>
      </c>
      <c r="EF88" s="56">
        <v>279.25312000000002</v>
      </c>
      <c r="EG88" s="56">
        <v>279.25312000000002</v>
      </c>
      <c r="EH88" s="56">
        <v>279.25312000000002</v>
      </c>
      <c r="EI88" s="56">
        <v>279.25312000000002</v>
      </c>
      <c r="EJ88" s="56">
        <v>373.26607999999999</v>
      </c>
      <c r="EK88" s="56">
        <v>494.57360000000006</v>
      </c>
      <c r="EL88" s="56">
        <v>494.57360000000006</v>
      </c>
      <c r="EM88" s="56">
        <v>494.57360000000006</v>
      </c>
      <c r="EN88" s="56">
        <v>494.57360000000006</v>
      </c>
      <c r="EO88" s="56">
        <v>494.57360000000006</v>
      </c>
      <c r="EP88" s="56">
        <v>494.57360000000006</v>
      </c>
      <c r="EQ88" s="56">
        <v>494.57360000000006</v>
      </c>
      <c r="ER88" s="57">
        <v>418.75640000000004</v>
      </c>
      <c r="ES88" s="58">
        <v>342.93920000000003</v>
      </c>
      <c r="ET88" s="56">
        <v>372.20164</v>
      </c>
      <c r="EU88" s="56">
        <v>363.06235999999996</v>
      </c>
      <c r="EV88" s="56">
        <v>363.06235999999996</v>
      </c>
      <c r="EW88" s="56">
        <v>363.06235999999996</v>
      </c>
      <c r="EX88" s="56">
        <v>363.06235999999996</v>
      </c>
      <c r="EY88" s="56">
        <v>363.06235999999996</v>
      </c>
      <c r="EZ88" s="56">
        <v>363.06235999999996</v>
      </c>
      <c r="FA88" s="56">
        <v>352.2091200000001</v>
      </c>
      <c r="FB88" s="56">
        <v>352.2091200000001</v>
      </c>
      <c r="FC88" s="56">
        <v>340.60949077857163</v>
      </c>
      <c r="FD88" s="56">
        <v>338.44093501457746</v>
      </c>
      <c r="FE88" s="56">
        <v>338.44093501457746</v>
      </c>
      <c r="FF88" s="56">
        <v>338.44093501457746</v>
      </c>
      <c r="FG88" s="56">
        <v>389.90980000000025</v>
      </c>
      <c r="FH88" s="56">
        <v>625.53652000000022</v>
      </c>
      <c r="FI88" s="56">
        <v>699.79524000000038</v>
      </c>
      <c r="FJ88" s="56">
        <v>786.27137399656624</v>
      </c>
      <c r="FK88" s="56">
        <v>786.27137399656624</v>
      </c>
      <c r="FL88" s="56">
        <v>786.27137399656647</v>
      </c>
      <c r="FM88" s="56">
        <v>786.27137399656647</v>
      </c>
      <c r="FN88" s="56">
        <v>786.27137399656647</v>
      </c>
      <c r="FO88" s="56">
        <v>784.39716226323299</v>
      </c>
      <c r="FP88" s="57">
        <v>600.06900003761973</v>
      </c>
    </row>
    <row r="90" spans="1:172" ht="21" thickBot="1" x14ac:dyDescent="0.3">
      <c r="A90" s="7" t="s">
        <v>374</v>
      </c>
      <c r="B90" s="21" t="s">
        <v>1</v>
      </c>
      <c r="C90" s="8" t="s">
        <v>2</v>
      </c>
      <c r="D90" s="21"/>
      <c r="E90" s="8" t="s">
        <v>4</v>
      </c>
      <c r="F90" s="8" t="s">
        <v>5</v>
      </c>
      <c r="G90" s="8" t="s">
        <v>6</v>
      </c>
      <c r="H90" s="8" t="s">
        <v>7</v>
      </c>
      <c r="I90" s="8" t="s">
        <v>8</v>
      </c>
      <c r="J90" s="8" t="s">
        <v>9</v>
      </c>
      <c r="K90" s="8" t="s">
        <v>10</v>
      </c>
      <c r="L90" s="8" t="s">
        <v>11</v>
      </c>
      <c r="M90" s="8" t="s">
        <v>12</v>
      </c>
      <c r="N90" s="8" t="s">
        <v>13</v>
      </c>
      <c r="O90" s="8" t="s">
        <v>14</v>
      </c>
      <c r="P90" s="8" t="s">
        <v>15</v>
      </c>
      <c r="Q90" s="8" t="s">
        <v>16</v>
      </c>
      <c r="R90" s="8" t="s">
        <v>17</v>
      </c>
      <c r="S90" s="8" t="s">
        <v>18</v>
      </c>
      <c r="T90" s="8" t="s">
        <v>19</v>
      </c>
      <c r="U90" s="8" t="s">
        <v>20</v>
      </c>
      <c r="V90" s="8" t="s">
        <v>21</v>
      </c>
      <c r="W90" s="8" t="s">
        <v>22</v>
      </c>
      <c r="X90" s="8" t="s">
        <v>23</v>
      </c>
      <c r="Y90" s="8" t="s">
        <v>24</v>
      </c>
      <c r="Z90" s="8" t="s">
        <v>25</v>
      </c>
      <c r="AA90" s="8" t="s">
        <v>26</v>
      </c>
      <c r="AB90" s="8" t="s">
        <v>27</v>
      </c>
      <c r="AC90" s="46" t="s">
        <v>28</v>
      </c>
      <c r="AD90" s="8" t="s">
        <v>29</v>
      </c>
      <c r="AE90" s="8" t="s">
        <v>30</v>
      </c>
      <c r="AF90" s="8" t="s">
        <v>31</v>
      </c>
      <c r="AG90" s="8" t="s">
        <v>32</v>
      </c>
      <c r="AH90" s="8" t="s">
        <v>33</v>
      </c>
      <c r="AI90" s="8" t="s">
        <v>34</v>
      </c>
      <c r="AJ90" s="8" t="s">
        <v>35</v>
      </c>
      <c r="AK90" s="8" t="s">
        <v>36</v>
      </c>
      <c r="AL90" s="8" t="s">
        <v>37</v>
      </c>
      <c r="AM90" s="8" t="s">
        <v>38</v>
      </c>
      <c r="AN90" s="8" t="s">
        <v>39</v>
      </c>
      <c r="AO90" s="8" t="s">
        <v>40</v>
      </c>
      <c r="AP90" s="8" t="s">
        <v>41</v>
      </c>
      <c r="AQ90" s="8" t="s">
        <v>42</v>
      </c>
      <c r="AR90" s="8" t="s">
        <v>43</v>
      </c>
      <c r="AS90" s="8" t="s">
        <v>44</v>
      </c>
      <c r="AT90" s="8" t="s">
        <v>45</v>
      </c>
      <c r="AU90" s="8" t="s">
        <v>46</v>
      </c>
      <c r="AV90" s="8" t="s">
        <v>47</v>
      </c>
      <c r="AW90" s="8" t="s">
        <v>48</v>
      </c>
      <c r="AX90" s="8" t="s">
        <v>49</v>
      </c>
      <c r="AY90" s="8" t="s">
        <v>50</v>
      </c>
      <c r="AZ90" s="8" t="s">
        <v>51</v>
      </c>
      <c r="BA90" s="46" t="s">
        <v>52</v>
      </c>
      <c r="BB90" s="8" t="s">
        <v>53</v>
      </c>
      <c r="BC90" s="8" t="s">
        <v>54</v>
      </c>
      <c r="BD90" s="8" t="s">
        <v>55</v>
      </c>
      <c r="BE90" s="8" t="s">
        <v>56</v>
      </c>
      <c r="BF90" s="8" t="s">
        <v>57</v>
      </c>
      <c r="BG90" s="8" t="s">
        <v>58</v>
      </c>
      <c r="BH90" s="8" t="s">
        <v>59</v>
      </c>
      <c r="BI90" s="8" t="s">
        <v>60</v>
      </c>
      <c r="BJ90" s="8" t="s">
        <v>61</v>
      </c>
      <c r="BK90" s="8" t="s">
        <v>62</v>
      </c>
      <c r="BL90" s="8" t="s">
        <v>63</v>
      </c>
      <c r="BM90" s="8" t="s">
        <v>64</v>
      </c>
      <c r="BN90" s="8" t="s">
        <v>65</v>
      </c>
      <c r="BO90" s="8" t="s">
        <v>66</v>
      </c>
      <c r="BP90" s="8" t="s">
        <v>67</v>
      </c>
      <c r="BQ90" s="8" t="s">
        <v>68</v>
      </c>
      <c r="BR90" s="8" t="s">
        <v>69</v>
      </c>
      <c r="BS90" s="8" t="s">
        <v>70</v>
      </c>
      <c r="BT90" s="8" t="s">
        <v>71</v>
      </c>
      <c r="BU90" s="8" t="s">
        <v>72</v>
      </c>
      <c r="BV90" s="8" t="s">
        <v>73</v>
      </c>
      <c r="BW90" s="8" t="s">
        <v>74</v>
      </c>
      <c r="BX90" s="8" t="s">
        <v>75</v>
      </c>
      <c r="BY90" s="46" t="s">
        <v>76</v>
      </c>
      <c r="BZ90" s="8" t="s">
        <v>77</v>
      </c>
      <c r="CA90" s="8" t="s">
        <v>78</v>
      </c>
      <c r="CB90" s="8" t="s">
        <v>79</v>
      </c>
      <c r="CC90" s="8" t="s">
        <v>80</v>
      </c>
      <c r="CD90" s="8" t="s">
        <v>81</v>
      </c>
      <c r="CE90" s="8" t="s">
        <v>82</v>
      </c>
      <c r="CF90" s="8" t="s">
        <v>83</v>
      </c>
      <c r="CG90" s="8" t="s">
        <v>84</v>
      </c>
      <c r="CH90" s="8" t="s">
        <v>85</v>
      </c>
      <c r="CI90" s="8" t="s">
        <v>86</v>
      </c>
      <c r="CJ90" s="8" t="s">
        <v>87</v>
      </c>
      <c r="CK90" s="8" t="s">
        <v>88</v>
      </c>
      <c r="CL90" s="8" t="s">
        <v>89</v>
      </c>
      <c r="CM90" s="8" t="s">
        <v>90</v>
      </c>
      <c r="CN90" s="8" t="s">
        <v>91</v>
      </c>
      <c r="CO90" s="8" t="s">
        <v>92</v>
      </c>
      <c r="CP90" s="8" t="s">
        <v>93</v>
      </c>
      <c r="CQ90" s="8" t="s">
        <v>94</v>
      </c>
      <c r="CR90" s="8" t="s">
        <v>95</v>
      </c>
      <c r="CS90" s="8" t="s">
        <v>96</v>
      </c>
      <c r="CT90" s="8" t="s">
        <v>97</v>
      </c>
      <c r="CU90" s="8" t="s">
        <v>98</v>
      </c>
      <c r="CV90" s="8" t="s">
        <v>99</v>
      </c>
      <c r="CW90" s="46" t="s">
        <v>100</v>
      </c>
      <c r="CX90" s="8" t="s">
        <v>101</v>
      </c>
      <c r="CY90" s="8" t="s">
        <v>102</v>
      </c>
      <c r="CZ90" s="8" t="s">
        <v>103</v>
      </c>
      <c r="DA90" s="8" t="s">
        <v>104</v>
      </c>
      <c r="DB90" s="8" t="s">
        <v>105</v>
      </c>
      <c r="DC90" s="8" t="s">
        <v>106</v>
      </c>
      <c r="DD90" s="8" t="s">
        <v>107</v>
      </c>
      <c r="DE90" s="8" t="s">
        <v>108</v>
      </c>
      <c r="DF90" s="8" t="s">
        <v>109</v>
      </c>
      <c r="DG90" s="8" t="s">
        <v>110</v>
      </c>
      <c r="DH90" s="8" t="s">
        <v>111</v>
      </c>
      <c r="DI90" s="8" t="s">
        <v>112</v>
      </c>
      <c r="DJ90" s="8" t="s">
        <v>113</v>
      </c>
      <c r="DK90" s="8" t="s">
        <v>114</v>
      </c>
      <c r="DL90" s="8" t="s">
        <v>115</v>
      </c>
      <c r="DM90" s="8" t="s">
        <v>116</v>
      </c>
      <c r="DN90" s="8" t="s">
        <v>117</v>
      </c>
      <c r="DO90" s="8" t="s">
        <v>118</v>
      </c>
      <c r="DP90" s="8" t="s">
        <v>119</v>
      </c>
      <c r="DQ90" s="8" t="s">
        <v>120</v>
      </c>
      <c r="DR90" s="8" t="s">
        <v>121</v>
      </c>
      <c r="DS90" s="8" t="s">
        <v>122</v>
      </c>
      <c r="DT90" s="8" t="s">
        <v>123</v>
      </c>
      <c r="DU90" s="46" t="s">
        <v>124</v>
      </c>
      <c r="DV90" s="8" t="s">
        <v>125</v>
      </c>
      <c r="DW90" s="8" t="s">
        <v>126</v>
      </c>
      <c r="DX90" s="8" t="s">
        <v>127</v>
      </c>
      <c r="DY90" s="8" t="s">
        <v>128</v>
      </c>
      <c r="DZ90" s="8" t="s">
        <v>129</v>
      </c>
      <c r="EA90" s="8" t="s">
        <v>130</v>
      </c>
      <c r="EB90" s="8" t="s">
        <v>131</v>
      </c>
      <c r="EC90" s="8" t="s">
        <v>132</v>
      </c>
      <c r="ED90" s="8" t="s">
        <v>133</v>
      </c>
      <c r="EE90" s="8" t="s">
        <v>134</v>
      </c>
      <c r="EF90" s="8" t="s">
        <v>135</v>
      </c>
      <c r="EG90" s="8" t="s">
        <v>136</v>
      </c>
      <c r="EH90" s="8" t="s">
        <v>137</v>
      </c>
      <c r="EI90" s="8" t="s">
        <v>138</v>
      </c>
      <c r="EJ90" s="8" t="s">
        <v>139</v>
      </c>
      <c r="EK90" s="8" t="s">
        <v>140</v>
      </c>
      <c r="EL90" s="8" t="s">
        <v>141</v>
      </c>
      <c r="EM90" s="8" t="s">
        <v>142</v>
      </c>
      <c r="EN90" s="8" t="s">
        <v>143</v>
      </c>
      <c r="EO90" s="8" t="s">
        <v>144</v>
      </c>
      <c r="EP90" s="8" t="s">
        <v>145</v>
      </c>
      <c r="EQ90" s="8" t="s">
        <v>146</v>
      </c>
      <c r="ER90" s="8" t="s">
        <v>147</v>
      </c>
      <c r="ES90" s="46" t="s">
        <v>148</v>
      </c>
      <c r="ET90" s="8" t="s">
        <v>149</v>
      </c>
      <c r="EU90" s="8" t="s">
        <v>150</v>
      </c>
      <c r="EV90" s="8" t="s">
        <v>151</v>
      </c>
      <c r="EW90" s="8" t="s">
        <v>152</v>
      </c>
      <c r="EX90" s="8" t="s">
        <v>153</v>
      </c>
      <c r="EY90" s="8" t="s">
        <v>154</v>
      </c>
      <c r="EZ90" s="8" t="s">
        <v>155</v>
      </c>
      <c r="FA90" s="8" t="s">
        <v>156</v>
      </c>
      <c r="FB90" s="8" t="s">
        <v>157</v>
      </c>
      <c r="FC90" s="8" t="s">
        <v>158</v>
      </c>
      <c r="FD90" s="8" t="s">
        <v>159</v>
      </c>
      <c r="FE90" s="8" t="s">
        <v>160</v>
      </c>
      <c r="FF90" s="8" t="s">
        <v>161</v>
      </c>
      <c r="FG90" s="8" t="s">
        <v>162</v>
      </c>
      <c r="FH90" s="8" t="s">
        <v>163</v>
      </c>
      <c r="FI90" s="8" t="s">
        <v>164</v>
      </c>
      <c r="FJ90" s="8" t="s">
        <v>165</v>
      </c>
      <c r="FK90" s="8" t="s">
        <v>166</v>
      </c>
      <c r="FL90" s="8" t="s">
        <v>167</v>
      </c>
      <c r="FM90" s="8" t="s">
        <v>168</v>
      </c>
      <c r="FN90" s="8" t="s">
        <v>169</v>
      </c>
      <c r="FO90" s="8" t="s">
        <v>170</v>
      </c>
      <c r="FP90" s="8" t="s">
        <v>171</v>
      </c>
    </row>
    <row r="91" spans="1:172" ht="16" thickTop="1" x14ac:dyDescent="0.2">
      <c r="A91" s="6" t="s">
        <v>375</v>
      </c>
      <c r="B91" s="1" t="s">
        <v>376</v>
      </c>
      <c r="C91" s="28" t="s">
        <v>258</v>
      </c>
      <c r="D91" s="1"/>
      <c r="E91" s="56">
        <v>57.951000000000001</v>
      </c>
      <c r="F91" s="56">
        <v>49.581000000000003</v>
      </c>
      <c r="G91" s="56">
        <v>49.042000000000002</v>
      </c>
      <c r="H91" s="56">
        <v>49.152999999999999</v>
      </c>
      <c r="I91" s="56">
        <v>49.261000000000003</v>
      </c>
      <c r="J91" s="56">
        <v>49.161999999999999</v>
      </c>
      <c r="K91" s="56">
        <v>49.518999999999998</v>
      </c>
      <c r="L91" s="56">
        <v>78.53</v>
      </c>
      <c r="M91" s="56">
        <v>71.353999999999999</v>
      </c>
      <c r="N91" s="56">
        <v>56.476999999999997</v>
      </c>
      <c r="O91" s="56">
        <v>47.485999999999997</v>
      </c>
      <c r="P91" s="56">
        <v>46.225000000000001</v>
      </c>
      <c r="Q91" s="56">
        <v>46.170999999999999</v>
      </c>
      <c r="R91" s="56">
        <v>46.154000000000003</v>
      </c>
      <c r="S91" s="56">
        <v>46.168999999999997</v>
      </c>
      <c r="T91" s="56">
        <v>46.209000000000003</v>
      </c>
      <c r="U91" s="56">
        <v>49.128999999999998</v>
      </c>
      <c r="V91" s="56">
        <v>63.250999999999998</v>
      </c>
      <c r="W91" s="56">
        <v>84.153000000000006</v>
      </c>
      <c r="X91" s="56">
        <v>106.764</v>
      </c>
      <c r="Y91" s="56">
        <v>114.77800000000001</v>
      </c>
      <c r="Z91" s="56">
        <v>119.196</v>
      </c>
      <c r="AA91" s="56">
        <v>112.533</v>
      </c>
      <c r="AB91" s="57">
        <v>60.777000000000001</v>
      </c>
      <c r="AC91" s="58">
        <v>56.433999999999997</v>
      </c>
      <c r="AD91" s="56">
        <v>48.893999999999998</v>
      </c>
      <c r="AE91" s="56">
        <v>48.759</v>
      </c>
      <c r="AF91" s="56">
        <v>48.32</v>
      </c>
      <c r="AG91" s="56">
        <v>48.072000000000003</v>
      </c>
      <c r="AH91" s="56">
        <v>48.481000000000002</v>
      </c>
      <c r="AI91" s="56">
        <v>48.835999999999999</v>
      </c>
      <c r="AJ91" s="56">
        <v>53.771999999999998</v>
      </c>
      <c r="AK91" s="56">
        <v>47.149000000000001</v>
      </c>
      <c r="AL91" s="56">
        <v>46.155999999999999</v>
      </c>
      <c r="AM91" s="56">
        <v>46.026000000000003</v>
      </c>
      <c r="AN91" s="56">
        <v>45.988999999999997</v>
      </c>
      <c r="AO91" s="56">
        <v>45.936999999999998</v>
      </c>
      <c r="AP91" s="56">
        <v>45.923000000000002</v>
      </c>
      <c r="AQ91" s="56">
        <v>45.948999999999998</v>
      </c>
      <c r="AR91" s="56">
        <v>46.037999999999997</v>
      </c>
      <c r="AS91" s="56">
        <v>46.131</v>
      </c>
      <c r="AT91" s="56">
        <v>47.345999999999997</v>
      </c>
      <c r="AU91" s="56">
        <v>54.688000000000002</v>
      </c>
      <c r="AV91" s="56">
        <v>70.739000000000004</v>
      </c>
      <c r="AW91" s="56">
        <v>84.899000000000001</v>
      </c>
      <c r="AX91" s="56">
        <v>83.715999999999994</v>
      </c>
      <c r="AY91" s="56">
        <v>74.587999999999994</v>
      </c>
      <c r="AZ91" s="57">
        <v>56.500999999999998</v>
      </c>
      <c r="BA91" s="58">
        <v>52.027999999999999</v>
      </c>
      <c r="BB91" s="56">
        <v>53.341000000000001</v>
      </c>
      <c r="BC91" s="56">
        <v>51.82</v>
      </c>
      <c r="BD91" s="56">
        <v>50.686999999999998</v>
      </c>
      <c r="BE91" s="56">
        <v>50.872999999999998</v>
      </c>
      <c r="BF91" s="56">
        <v>50.954000000000001</v>
      </c>
      <c r="BG91" s="56">
        <v>52.765999999999998</v>
      </c>
      <c r="BH91" s="56">
        <v>93.960999999999999</v>
      </c>
      <c r="BI91" s="56">
        <v>79.301000000000002</v>
      </c>
      <c r="BJ91" s="56">
        <v>63.335999999999999</v>
      </c>
      <c r="BK91" s="56">
        <v>51.085999999999999</v>
      </c>
      <c r="BL91" s="56">
        <v>48.877000000000002</v>
      </c>
      <c r="BM91" s="56">
        <v>47.103999999999999</v>
      </c>
      <c r="BN91" s="56">
        <v>49.77</v>
      </c>
      <c r="BO91" s="56">
        <v>59.18</v>
      </c>
      <c r="BP91" s="56">
        <v>72.688999999999993</v>
      </c>
      <c r="BQ91" s="56">
        <v>85.55</v>
      </c>
      <c r="BR91" s="56">
        <v>102.501</v>
      </c>
      <c r="BS91" s="56">
        <v>113.28100000000001</v>
      </c>
      <c r="BT91" s="56">
        <v>121.649</v>
      </c>
      <c r="BU91" s="56">
        <v>122.425</v>
      </c>
      <c r="BV91" s="56">
        <v>122.393</v>
      </c>
      <c r="BW91" s="56">
        <v>118.246</v>
      </c>
      <c r="BX91" s="57">
        <v>65.784999999999997</v>
      </c>
      <c r="BY91" s="58">
        <v>57.951000000000001</v>
      </c>
      <c r="BZ91" s="56">
        <v>53.341000000000001</v>
      </c>
      <c r="CA91" s="56">
        <v>51.82</v>
      </c>
      <c r="CB91" s="56">
        <v>50.686999999999998</v>
      </c>
      <c r="CC91" s="56">
        <v>50.872999999999998</v>
      </c>
      <c r="CD91" s="56">
        <v>50.954000000000001</v>
      </c>
      <c r="CE91" s="56">
        <v>52.765999999999998</v>
      </c>
      <c r="CF91" s="56">
        <v>93.960999999999999</v>
      </c>
      <c r="CG91" s="56">
        <v>79.301000000000002</v>
      </c>
      <c r="CH91" s="56">
        <v>63.335999999999999</v>
      </c>
      <c r="CI91" s="56">
        <v>51.085999999999999</v>
      </c>
      <c r="CJ91" s="56">
        <v>48.877000000000002</v>
      </c>
      <c r="CK91" s="56">
        <v>47.103999999999999</v>
      </c>
      <c r="CL91" s="56">
        <v>49.77</v>
      </c>
      <c r="CM91" s="56">
        <v>59.18</v>
      </c>
      <c r="CN91" s="56">
        <v>72.688999999999993</v>
      </c>
      <c r="CO91" s="56">
        <v>85.55</v>
      </c>
      <c r="CP91" s="56">
        <v>102.501</v>
      </c>
      <c r="CQ91" s="56">
        <v>113.28100000000001</v>
      </c>
      <c r="CR91" s="56">
        <v>121.649</v>
      </c>
      <c r="CS91" s="56">
        <v>122.425</v>
      </c>
      <c r="CT91" s="56">
        <v>122.393</v>
      </c>
      <c r="CU91" s="56">
        <v>118.246</v>
      </c>
      <c r="CV91" s="57">
        <v>65.784999999999997</v>
      </c>
      <c r="CW91" s="58">
        <v>57.951000000000001</v>
      </c>
      <c r="CX91" s="56">
        <v>53.341000000000001</v>
      </c>
      <c r="CY91" s="56">
        <v>51.82</v>
      </c>
      <c r="CZ91" s="56">
        <v>50.686999999999998</v>
      </c>
      <c r="DA91" s="56">
        <v>50.872999999999998</v>
      </c>
      <c r="DB91" s="56">
        <v>50.954000000000001</v>
      </c>
      <c r="DC91" s="56">
        <v>52.765999999999998</v>
      </c>
      <c r="DD91" s="56">
        <v>93.960999999999999</v>
      </c>
      <c r="DE91" s="56">
        <v>79.301000000000002</v>
      </c>
      <c r="DF91" s="56">
        <v>63.335999999999999</v>
      </c>
      <c r="DG91" s="56">
        <v>51.085999999999999</v>
      </c>
      <c r="DH91" s="56">
        <v>48.877000000000002</v>
      </c>
      <c r="DI91" s="56">
        <v>47.103999999999999</v>
      </c>
      <c r="DJ91" s="56">
        <v>49.77</v>
      </c>
      <c r="DK91" s="56">
        <v>59.18</v>
      </c>
      <c r="DL91" s="56">
        <v>72.688999999999993</v>
      </c>
      <c r="DM91" s="56">
        <v>85.55</v>
      </c>
      <c r="DN91" s="56">
        <v>102.501</v>
      </c>
      <c r="DO91" s="56">
        <v>113.28100000000001</v>
      </c>
      <c r="DP91" s="56">
        <v>121.649</v>
      </c>
      <c r="DQ91" s="56">
        <v>122.425</v>
      </c>
      <c r="DR91" s="56">
        <v>122.393</v>
      </c>
      <c r="DS91" s="56">
        <v>118.246</v>
      </c>
      <c r="DT91" s="57">
        <v>65.784999999999997</v>
      </c>
      <c r="DU91" s="58">
        <v>57.951000000000001</v>
      </c>
      <c r="DV91" s="56">
        <v>53.341000000000001</v>
      </c>
      <c r="DW91" s="56">
        <v>51.82</v>
      </c>
      <c r="DX91" s="56">
        <v>50.686999999999998</v>
      </c>
      <c r="DY91" s="56">
        <v>50.872999999999998</v>
      </c>
      <c r="DZ91" s="56">
        <v>50.954000000000001</v>
      </c>
      <c r="EA91" s="56">
        <v>52.765999999999998</v>
      </c>
      <c r="EB91" s="56">
        <v>93.960999999999999</v>
      </c>
      <c r="EC91" s="56">
        <v>79.301000000000002</v>
      </c>
      <c r="ED91" s="56">
        <v>63.335999999999999</v>
      </c>
      <c r="EE91" s="56">
        <v>51.085999999999999</v>
      </c>
      <c r="EF91" s="56">
        <v>48.877000000000002</v>
      </c>
      <c r="EG91" s="56">
        <v>47.103999999999999</v>
      </c>
      <c r="EH91" s="56">
        <v>49.77</v>
      </c>
      <c r="EI91" s="56">
        <v>59.18</v>
      </c>
      <c r="EJ91" s="56">
        <v>72.688999999999993</v>
      </c>
      <c r="EK91" s="56">
        <v>85.55</v>
      </c>
      <c r="EL91" s="56">
        <v>102.501</v>
      </c>
      <c r="EM91" s="56">
        <v>113.28100000000001</v>
      </c>
      <c r="EN91" s="56">
        <v>121.649</v>
      </c>
      <c r="EO91" s="56">
        <v>122.425</v>
      </c>
      <c r="EP91" s="56">
        <v>122.393</v>
      </c>
      <c r="EQ91" s="56">
        <v>118.246</v>
      </c>
      <c r="ER91" s="57">
        <v>65.784999999999997</v>
      </c>
      <c r="ES91" s="58">
        <v>57.951000000000001</v>
      </c>
      <c r="ET91" s="56">
        <v>49.710999999999999</v>
      </c>
      <c r="EU91" s="56">
        <v>49.698</v>
      </c>
      <c r="EV91" s="56">
        <v>49.698</v>
      </c>
      <c r="EW91" s="56">
        <v>50.014000000000003</v>
      </c>
      <c r="EX91" s="56">
        <v>50.079000000000001</v>
      </c>
      <c r="EY91" s="56">
        <v>54.786999999999999</v>
      </c>
      <c r="EZ91" s="56">
        <v>49.725000000000001</v>
      </c>
      <c r="FA91" s="56">
        <v>49.652000000000001</v>
      </c>
      <c r="FB91" s="56">
        <v>49.613</v>
      </c>
      <c r="FC91" s="56">
        <v>49.539000000000001</v>
      </c>
      <c r="FD91" s="56">
        <v>49.460999999999999</v>
      </c>
      <c r="FE91" s="56">
        <v>49.414999999999999</v>
      </c>
      <c r="FF91" s="56">
        <v>49.393999999999998</v>
      </c>
      <c r="FG91" s="56">
        <v>49.488</v>
      </c>
      <c r="FH91" s="56">
        <v>51.942</v>
      </c>
      <c r="FI91" s="56">
        <v>58.341000000000001</v>
      </c>
      <c r="FJ91" s="56">
        <v>74.180000000000007</v>
      </c>
      <c r="FK91" s="56">
        <v>111.334</v>
      </c>
      <c r="FL91" s="56">
        <v>117.863</v>
      </c>
      <c r="FM91" s="56">
        <v>117.911</v>
      </c>
      <c r="FN91" s="56">
        <v>117.867</v>
      </c>
      <c r="FO91" s="56">
        <v>115.694</v>
      </c>
      <c r="FP91" s="57">
        <v>105.96</v>
      </c>
    </row>
    <row r="92" spans="1:172" x14ac:dyDescent="0.2">
      <c r="A92" s="6" t="s">
        <v>377</v>
      </c>
      <c r="B92" s="1" t="s">
        <v>378</v>
      </c>
      <c r="C92" s="28" t="s">
        <v>252</v>
      </c>
      <c r="D92" s="74">
        <v>0.1</v>
      </c>
      <c r="E92" s="29" t="s">
        <v>410</v>
      </c>
    </row>
    <row r="93" spans="1:172" x14ac:dyDescent="0.2">
      <c r="A93" s="6" t="s">
        <v>379</v>
      </c>
      <c r="B93" s="1" t="s">
        <v>380</v>
      </c>
      <c r="C93" s="28" t="s">
        <v>252</v>
      </c>
      <c r="D93" s="74">
        <v>0.1</v>
      </c>
      <c r="E93" s="29" t="s">
        <v>410</v>
      </c>
    </row>
    <row r="94" spans="1:172" x14ac:dyDescent="0.2">
      <c r="A94" s="6" t="s">
        <v>381</v>
      </c>
      <c r="B94" s="1" t="s">
        <v>382</v>
      </c>
      <c r="C94" s="28" t="s">
        <v>252</v>
      </c>
      <c r="D94" s="74">
        <v>0.1</v>
      </c>
      <c r="E94" s="29" t="s">
        <v>410</v>
      </c>
    </row>
    <row r="95" spans="1:172" x14ac:dyDescent="0.2">
      <c r="A95" s="6" t="s">
        <v>383</v>
      </c>
      <c r="B95" s="1" t="s">
        <v>384</v>
      </c>
      <c r="C95" s="28" t="s">
        <v>252</v>
      </c>
      <c r="D95" s="74">
        <v>0.1</v>
      </c>
      <c r="E95" s="29" t="s">
        <v>410</v>
      </c>
    </row>
    <row r="96" spans="1:172" x14ac:dyDescent="0.2">
      <c r="A96" s="6" t="s">
        <v>385</v>
      </c>
      <c r="B96" s="1" t="s">
        <v>386</v>
      </c>
      <c r="C96" s="28" t="s">
        <v>252</v>
      </c>
      <c r="D96" s="74">
        <v>0</v>
      </c>
      <c r="E96" s="29" t="s">
        <v>410</v>
      </c>
    </row>
    <row r="97" spans="1:11" x14ac:dyDescent="0.2">
      <c r="A97" s="6" t="s">
        <v>387</v>
      </c>
      <c r="B97" s="1" t="s">
        <v>388</v>
      </c>
      <c r="C97" s="28" t="s">
        <v>252</v>
      </c>
      <c r="D97" s="74">
        <v>0</v>
      </c>
      <c r="E97" s="29" t="s">
        <v>410</v>
      </c>
    </row>
    <row r="98" spans="1:11" x14ac:dyDescent="0.2">
      <c r="A98" s="6" t="s">
        <v>389</v>
      </c>
      <c r="B98" s="1" t="s">
        <v>390</v>
      </c>
      <c r="C98" s="28" t="s">
        <v>255</v>
      </c>
      <c r="D98" s="74">
        <v>0</v>
      </c>
    </row>
    <row r="99" spans="1:11" x14ac:dyDescent="0.2">
      <c r="A99" s="6" t="s">
        <v>391</v>
      </c>
      <c r="B99" s="1" t="s">
        <v>392</v>
      </c>
      <c r="C99" s="28" t="s">
        <v>255</v>
      </c>
      <c r="D99" s="74">
        <v>0</v>
      </c>
    </row>
    <row r="100" spans="1:11" x14ac:dyDescent="0.2">
      <c r="A100" s="6" t="s">
        <v>393</v>
      </c>
      <c r="B100" s="1" t="s">
        <v>394</v>
      </c>
      <c r="D100" s="75">
        <v>10000</v>
      </c>
      <c r="E100" s="29" t="s">
        <v>395</v>
      </c>
    </row>
    <row r="102" spans="1:11" ht="21" thickBot="1" x14ac:dyDescent="0.3">
      <c r="A102" s="7" t="s">
        <v>396</v>
      </c>
      <c r="B102" s="21" t="s">
        <v>1</v>
      </c>
      <c r="C102" s="8" t="s">
        <v>2</v>
      </c>
      <c r="D102" s="8"/>
      <c r="E102" s="8" t="s">
        <v>397</v>
      </c>
      <c r="F102" s="8" t="s">
        <v>398</v>
      </c>
      <c r="G102" s="8" t="s">
        <v>399</v>
      </c>
      <c r="H102" s="8" t="s">
        <v>400</v>
      </c>
      <c r="I102" s="8" t="s">
        <v>401</v>
      </c>
      <c r="J102" s="8" t="s">
        <v>402</v>
      </c>
      <c r="K102" s="8" t="s">
        <v>403</v>
      </c>
    </row>
    <row r="103" spans="1:11" ht="16" thickTop="1" x14ac:dyDescent="0.2">
      <c r="A103" s="76" t="s">
        <v>404</v>
      </c>
      <c r="B103" s="1" t="s">
        <v>405</v>
      </c>
      <c r="C103" s="28" t="s">
        <v>252</v>
      </c>
      <c r="D103" s="24" t="b">
        <v>1</v>
      </c>
    </row>
    <row r="104" spans="1:11" x14ac:dyDescent="0.2">
      <c r="A104" s="6" t="s">
        <v>406</v>
      </c>
      <c r="B104" s="1" t="s">
        <v>407</v>
      </c>
      <c r="C104" s="28" t="s">
        <v>252</v>
      </c>
      <c r="E104" s="77">
        <v>0</v>
      </c>
      <c r="F104" s="77">
        <v>2490</v>
      </c>
      <c r="G104" s="77"/>
      <c r="H104" s="77"/>
      <c r="I104" s="77"/>
      <c r="J104" s="77"/>
      <c r="K104" s="77"/>
    </row>
    <row r="105" spans="1:11" x14ac:dyDescent="0.2">
      <c r="A105" s="6" t="s">
        <v>408</v>
      </c>
      <c r="B105" s="1" t="s">
        <v>409</v>
      </c>
      <c r="C105" s="28" t="s">
        <v>252</v>
      </c>
      <c r="E105" s="77">
        <v>2470</v>
      </c>
      <c r="F105" s="77">
        <v>4940</v>
      </c>
      <c r="G105" s="77"/>
      <c r="H105" s="77"/>
      <c r="I105" s="77"/>
      <c r="J105" s="77"/>
      <c r="K105" s="77"/>
    </row>
  </sheetData>
  <conditionalFormatting sqref="D9">
    <cfRule type="cellIs" dxfId="49" priority="24" operator="equal">
      <formula>FALSE</formula>
    </cfRule>
    <cfRule type="cellIs" dxfId="48" priority="25" operator="equal">
      <formula>TRUE</formula>
    </cfRule>
  </conditionalFormatting>
  <conditionalFormatting sqref="D10:D11">
    <cfRule type="cellIs" dxfId="45" priority="22" operator="equal">
      <formula>FALSE</formula>
    </cfRule>
    <cfRule type="cellIs" dxfId="44" priority="23" operator="equal">
      <formula>TRUE</formula>
    </cfRule>
  </conditionalFormatting>
  <conditionalFormatting sqref="D38:D39">
    <cfRule type="cellIs" dxfId="41" priority="20" operator="equal">
      <formula>FALSE</formula>
    </cfRule>
    <cfRule type="cellIs" dxfId="40" priority="21" operator="equal">
      <formula>TRUE</formula>
    </cfRule>
  </conditionalFormatting>
  <conditionalFormatting sqref="D41 D62 D73 D47 D51 D56:D57">
    <cfRule type="cellIs" dxfId="37" priority="18" operator="equal">
      <formula>FALSE</formula>
    </cfRule>
    <cfRule type="cellIs" dxfId="36" priority="19" operator="equal">
      <formula>TRUE</formula>
    </cfRule>
  </conditionalFormatting>
  <conditionalFormatting sqref="D42:D43">
    <cfRule type="expression" dxfId="33" priority="17">
      <formula>$D$41=FALSE</formula>
    </cfRule>
  </conditionalFormatting>
  <conditionalFormatting sqref="D40">
    <cfRule type="expression" dxfId="31" priority="16">
      <formula>$D$39=FALSE</formula>
    </cfRule>
  </conditionalFormatting>
  <conditionalFormatting sqref="D52:D53">
    <cfRule type="expression" dxfId="29" priority="15">
      <formula>$D$51=FALSE</formula>
    </cfRule>
  </conditionalFormatting>
  <conditionalFormatting sqref="D58:D59">
    <cfRule type="expression" dxfId="27" priority="14">
      <formula>$D$57=FALSE</formula>
    </cfRule>
  </conditionalFormatting>
  <conditionalFormatting sqref="D48:D50">
    <cfRule type="expression" dxfId="25" priority="13">
      <formula>$D$41=FALSE</formula>
    </cfRule>
  </conditionalFormatting>
  <conditionalFormatting sqref="D48:D50">
    <cfRule type="expression" dxfId="23" priority="12">
      <formula>$D$10="LP"</formula>
    </cfRule>
  </conditionalFormatting>
  <conditionalFormatting sqref="D64:D65">
    <cfRule type="expression" dxfId="21" priority="11">
      <formula>$D$57=FALSE</formula>
    </cfRule>
  </conditionalFormatting>
  <conditionalFormatting sqref="D63">
    <cfRule type="cellIs" dxfId="19" priority="9" operator="equal">
      <formula>FALSE</formula>
    </cfRule>
    <cfRule type="cellIs" dxfId="18" priority="10" operator="equal">
      <formula>TRUE</formula>
    </cfRule>
  </conditionalFormatting>
  <conditionalFormatting sqref="D68">
    <cfRule type="cellIs" dxfId="15" priority="7" operator="equal">
      <formula>FALSE</formula>
    </cfRule>
    <cfRule type="cellIs" dxfId="14" priority="8" operator="equal">
      <formula>TRUE</formula>
    </cfRule>
  </conditionalFormatting>
  <conditionalFormatting sqref="D33">
    <cfRule type="cellIs" dxfId="11" priority="5" operator="equal">
      <formula>FALSE</formula>
    </cfRule>
    <cfRule type="cellIs" dxfId="10" priority="6" operator="equal">
      <formula>TRUE</formula>
    </cfRule>
  </conditionalFormatting>
  <conditionalFormatting sqref="D12:D14">
    <cfRule type="expression" dxfId="7" priority="4">
      <formula>$D$41=FALSE</formula>
    </cfRule>
  </conditionalFormatting>
  <conditionalFormatting sqref="D12:D13">
    <cfRule type="expression" dxfId="5" priority="3">
      <formula>IF($D$11="XY",0,1)</formula>
    </cfRule>
  </conditionalFormatting>
  <conditionalFormatting sqref="D103">
    <cfRule type="cellIs" dxfId="3" priority="1" operator="equal">
      <formula>FALSE</formula>
    </cfRule>
    <cfRule type="cellIs" dxfId="2" priority="2" operator="equal">
      <formula>TRUE</formula>
    </cfRule>
  </conditionalFormatting>
  <dataValidations count="4">
    <dataValidation type="list" allowBlank="1" showInputMessage="1" showErrorMessage="1" sqref="D38" xr:uid="{2C4E0CE3-B640-D143-9EA2-7C33975E90AF}">
      <formula1>$Y$3:$Y$6</formula1>
    </dataValidation>
    <dataValidation type="list" allowBlank="1" showInputMessage="1" showErrorMessage="1" sqref="D11" xr:uid="{C8223D25-AFE3-D744-AC6A-41C8A3C17827}">
      <formula1>$Z$4:$Z$5</formula1>
    </dataValidation>
    <dataValidation type="list" allowBlank="1" showInputMessage="1" showErrorMessage="1" sqref="D10" xr:uid="{F053F414-B032-274A-B51C-B7B903568B60}">
      <formula1>$AA$4:$AA$5</formula1>
    </dataValidation>
    <dataValidation type="list" allowBlank="1" showInputMessage="1" showErrorMessage="1" sqref="D9 D33 D68 D62:D63 D73 D51 D41 D56:D57 D47 D39 D103" xr:uid="{9BB0E08B-D6FE-3F4E-8B4B-DD58C16C05FE}">
      <formula1>$AB$4:$AB$5</formula1>
    </dataValidation>
  </dataValidation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DF753C3-445D-B741-9ACE-0DFFAE2E74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Inputs!E88:FP88</xm:f>
              <xm:sqref>D88</xm:sqref>
            </x14:sparkline>
          </x14:sparklines>
        </x14:sparklineGroup>
        <x14:sparklineGroup displayEmptyCellsAs="gap" xr2:uid="{9B6AD2E3-7DCC-B746-8930-EC4C6A06FB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Inputs!E83:FP83</xm:f>
              <xm:sqref>D83</xm:sqref>
            </x14:sparkline>
          </x14:sparklines>
        </x14:sparklineGroup>
        <x14:sparklineGroup displayEmptyCellsAs="gap" xr2:uid="{EF0E0E85-C3D8-5A4D-8326-2A7626C4A4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Inputs!E82:FP82</xm:f>
              <xm:sqref>D82</xm:sqref>
            </x14:sparkline>
          </x14:sparklines>
        </x14:sparklineGroup>
        <x14:sparklineGroup displayEmptyCellsAs="gap" xr2:uid="{0F13B6B3-8FBE-4142-AF3E-D316942B7D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Inputs!E79:K79</xm:f>
              <xm:sqref>D79</xm:sqref>
            </x14:sparkline>
          </x14:sparklines>
        </x14:sparklineGroup>
        <x14:sparklineGroup displayEmptyCellsAs="gap" xr2:uid="{998B72BC-E985-1C4C-A084-BFFCEA8C81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Inputs!E78:K78</xm:f>
              <xm:sqref>D78</xm:sqref>
            </x14:sparkline>
          </x14:sparklines>
        </x14:sparklineGroup>
        <x14:sparklineGroup displayEmptyCellsAs="gap" xr2:uid="{559C51A1-53B8-614C-AD01-678BACA24C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Inputs!E75:FP75</xm:f>
              <xm:sqref>D75</xm:sqref>
            </x14:sparkline>
          </x14:sparklines>
        </x14:sparklineGroup>
        <x14:sparklineGroup displayEmptyCellsAs="gap" xr2:uid="{807E9331-7D8F-AB4C-A8F9-0E57D6A1C4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Inputs!E74:FP74</xm:f>
              <xm:sqref>D74</xm:sqref>
            </x14:sparkline>
          </x14:sparklines>
        </x14:sparklineGroup>
        <x14:sparklineGroup displayEmptyCellsAs="gap" xr2:uid="{5BF70712-0B22-414B-9416-AA22F14D24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Inputs!E72:FP72</xm:f>
              <xm:sqref>D72</xm:sqref>
            </x14:sparkline>
          </x14:sparklines>
        </x14:sparklineGroup>
        <x14:sparklineGroup displayEmptyCellsAs="gap" xr2:uid="{C1615A30-9E27-A94E-8C57-12AD5F45BC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Inputs!E71:FP71</xm:f>
              <xm:sqref>D71</xm:sqref>
            </x14:sparkline>
          </x14:sparklines>
        </x14:sparklineGroup>
        <x14:sparklineGroup displayEmptyCellsAs="gap" xr2:uid="{94D2EC15-BF65-0C4C-8848-26D75ABAA1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Inputs!E35:FP35</xm:f>
              <xm:sqref>D35</xm:sqref>
            </x14:sparkline>
          </x14:sparklines>
        </x14:sparklineGroup>
        <x14:sparklineGroup displayEmptyCellsAs="gap" xr2:uid="{FDE2EE8B-32B7-1043-9AC0-B0E8BC8214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Inputs!E46:FP46</xm:f>
              <xm:sqref>D46</xm:sqref>
            </x14:sparkline>
          </x14:sparklines>
        </x14:sparklineGroup>
        <x14:sparklineGroup displayEmptyCellsAs="gap" xr2:uid="{51DAE51B-9E9E-2549-9252-B7A5127D63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Inputs!E54:FP54</xm:f>
              <xm:sqref>D54</xm:sqref>
            </x14:sparkline>
          </x14:sparklines>
        </x14:sparklineGroup>
        <x14:sparklineGroup displayEmptyCellsAs="gap" xr2:uid="{AD7423F9-0F7B-FD4F-AC3B-D34157D559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Inputs!E55:FP55</xm:f>
              <xm:sqref>D55</xm:sqref>
            </x14:sparkline>
          </x14:sparklines>
        </x14:sparklineGroup>
        <x14:sparklineGroup displayEmptyCellsAs="gap" xr2:uid="{96395918-8BA5-CF45-BB67-946502595C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Inputs!E60:FP60</xm:f>
              <xm:sqref>D60</xm:sqref>
            </x14:sparkline>
          </x14:sparklines>
        </x14:sparklineGroup>
        <x14:sparklineGroup displayEmptyCellsAs="gap" xr2:uid="{B27AD445-6494-2946-A3E6-13A768B3CC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Inputs!E61:FP61</xm:f>
              <xm:sqref>D61</xm:sqref>
            </x14:sparkline>
          </x14:sparklines>
        </x14:sparklineGroup>
        <x14:sparklineGroup displayEmptyCellsAs="gap" xr2:uid="{90E08871-BF9C-394B-BD80-77CEF62A0C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Inputs!E67:FP67</xm:f>
              <xm:sqref>D67</xm:sqref>
            </x14:sparkline>
          </x14:sparklines>
        </x14:sparklineGroup>
        <x14:sparklineGroup displayEmptyCellsAs="gap" xr2:uid="{9F866FBB-A177-7141-9A31-79098C543C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Inputs!E66:FP66</xm:f>
              <xm:sqref>D66</xm:sqref>
            </x14:sparkline>
          </x14:sparklines>
        </x14:sparklineGroup>
        <x14:sparklineGroup displayEmptyCellsAs="gap" xr2:uid="{90180389-559B-0F42-B362-5C1A4FA592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Inputs!E40:K40</xm:f>
              <xm:sqref>D40</xm:sqref>
            </x14:sparkline>
          </x14:sparklines>
        </x14:sparklineGroup>
        <x14:sparklineGroup displayEmptyCellsAs="gap" xr2:uid="{0FFB23CA-9A90-354A-BE79-B83799EB9D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Inputs!E37:K37</xm:f>
              <xm:sqref>D37</xm:sqref>
            </x14:sparkline>
          </x14:sparklines>
        </x14:sparklineGroup>
        <x14:sparklineGroup displayEmptyCellsAs="gap" xr2:uid="{BBCA38B0-D596-3240-98E9-2F2861ADE0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Inputs!E44:FP44</xm:f>
              <xm:sqref>D44</xm:sqref>
            </x14:sparkline>
          </x14:sparklines>
        </x14:sparklineGroup>
        <x14:sparklineGroup displayEmptyCellsAs="gap" xr2:uid="{C406F429-4675-964C-8BC9-8E2D4CCA5F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Inputs!E34:FP34</xm:f>
              <xm:sqref>D34</xm:sqref>
            </x14:sparkline>
          </x14:sparklines>
        </x14:sparklineGroup>
        <x14:sparklineGroup displayEmptyCellsAs="gap" xr2:uid="{2E5A5513-C1A8-EC41-B1CC-C19C229898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Inputs!E45:FP45</xm:f>
              <xm:sqref>D45</xm:sqref>
            </x14:sparkline>
          </x14:sparklines>
        </x14:sparklineGroup>
        <x14:sparklineGroup displayEmptyCellsAs="gap" xr2:uid="{978AEE41-9748-DB42-8B97-CF858C6A26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Inputs!E76:FP76</xm:f>
              <xm:sqref>D76</xm:sqref>
            </x14:sparkline>
          </x14:sparklines>
        </x14:sparklineGroup>
        <x14:sparklineGroup displayEmptyCellsAs="gap" xr2:uid="{92B5884E-5524-BD4E-892E-191F907498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Inputs!E91:FP91</xm:f>
              <xm:sqref>D91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 Usis</dc:creator>
  <cp:lastModifiedBy>Maris Usis</cp:lastModifiedBy>
  <dcterms:created xsi:type="dcterms:W3CDTF">2026-01-29T05:24:35Z</dcterms:created>
  <dcterms:modified xsi:type="dcterms:W3CDTF">2026-01-29T21:40:10Z</dcterms:modified>
</cp:coreProperties>
</file>